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evanshu\Desktop\Python\jupyter projects\EXCEL\"/>
    </mc:Choice>
  </mc:AlternateContent>
  <xr:revisionPtr revIDLastSave="0" documentId="13_ncr:1_{D50D5EB9-9621-4EF9-836D-6BFA20DDA40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3" i="1" l="1"/>
  <c r="D94" i="1"/>
  <c r="D95" i="1"/>
  <c r="D92" i="1"/>
  <c r="C85" i="1"/>
  <c r="C86" i="1"/>
  <c r="C87" i="1"/>
  <c r="C84" i="1"/>
  <c r="C77" i="1"/>
  <c r="C78" i="1"/>
  <c r="C79" i="1"/>
  <c r="C76" i="1"/>
  <c r="D69" i="1"/>
  <c r="D70" i="1"/>
  <c r="D71" i="1"/>
  <c r="D68" i="1"/>
  <c r="D61" i="1"/>
  <c r="D62" i="1"/>
  <c r="D63" i="1"/>
  <c r="D60" i="1"/>
  <c r="D53" i="1"/>
  <c r="D54" i="1"/>
  <c r="D55" i="1"/>
  <c r="D52" i="1"/>
  <c r="D45" i="1"/>
  <c r="D46" i="1"/>
  <c r="D47" i="1"/>
  <c r="D44" i="1"/>
  <c r="C36" i="1"/>
  <c r="C37" i="1"/>
  <c r="C38" i="1"/>
  <c r="C39" i="1"/>
  <c r="C35" i="1"/>
  <c r="C28" i="1"/>
  <c r="C29" i="1"/>
  <c r="C30" i="1"/>
  <c r="D19" i="1"/>
  <c r="D20" i="1"/>
  <c r="D21" i="1"/>
  <c r="D22" i="1"/>
  <c r="C27" i="1"/>
  <c r="D18" i="1"/>
  <c r="C11" i="1"/>
  <c r="C12" i="1"/>
  <c r="C13" i="1"/>
  <c r="C14" i="1"/>
  <c r="C10" i="1"/>
  <c r="B11" i="1"/>
  <c r="B12" i="1"/>
  <c r="B13" i="1"/>
  <c r="B14" i="1"/>
  <c r="B10" i="1"/>
  <c r="C7" i="1"/>
  <c r="B7" i="1"/>
  <c r="C3" i="1"/>
  <c r="D13" i="1" l="1"/>
  <c r="D11" i="1"/>
  <c r="D12" i="1"/>
  <c r="D14" i="1"/>
  <c r="D10" i="1"/>
</calcChain>
</file>

<file path=xl/sharedStrings.xml><?xml version="1.0" encoding="utf-8"?>
<sst xmlns="http://schemas.openxmlformats.org/spreadsheetml/2006/main" count="108" uniqueCount="66">
  <si>
    <t>Devanshu</t>
  </si>
  <si>
    <t>Jadav</t>
  </si>
  <si>
    <t>Employee Code</t>
  </si>
  <si>
    <t>EMP-2045</t>
  </si>
  <si>
    <t>Concatenate:</t>
  </si>
  <si>
    <t>emp no.</t>
  </si>
  <si>
    <t>EMP</t>
  </si>
  <si>
    <t>Faculty</t>
  </si>
  <si>
    <t>Classes Conducted</t>
  </si>
  <si>
    <t>Attendance %</t>
  </si>
  <si>
    <t>Performance</t>
  </si>
  <si>
    <t>Rajesh</t>
  </si>
  <si>
    <t>Sunita</t>
  </si>
  <si>
    <t>Manoj</t>
  </si>
  <si>
    <t>Kavita</t>
  </si>
  <si>
    <t>Anil</t>
  </si>
  <si>
    <t>Task-1: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</si>
  <si>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</si>
  <si>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</si>
  <si>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</si>
  <si>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</si>
  <si>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</si>
  <si>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</si>
  <si>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</si>
  <si>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</si>
  <si>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</si>
  <si>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Task-2:</t>
  </si>
  <si>
    <t>Employee Name</t>
  </si>
  <si>
    <t>Salary</t>
  </si>
  <si>
    <t>Bonus Status</t>
  </si>
  <si>
    <t>Rohit</t>
  </si>
  <si>
    <t>Simran</t>
  </si>
  <si>
    <t>Vijay</t>
  </si>
  <si>
    <t>Nisha</t>
  </si>
  <si>
    <t>Task-3:</t>
  </si>
  <si>
    <t>Grade</t>
  </si>
  <si>
    <t>Task-4:</t>
  </si>
  <si>
    <t>Name</t>
  </si>
  <si>
    <t>Age</t>
  </si>
  <si>
    <t>Experience (Years)</t>
  </si>
  <si>
    <t>Eligible</t>
  </si>
  <si>
    <t>Task-5:</t>
  </si>
  <si>
    <t>Assignment Submitted</t>
  </si>
  <si>
    <t>Yes</t>
  </si>
  <si>
    <t>No</t>
  </si>
  <si>
    <t>Task-6: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</si>
  <si>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</si>
  <si>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</si>
  <si>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</si>
  <si>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</si>
  <si>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</si>
  <si>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</si>
  <si>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</si>
  <si>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</si>
  <si>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</si>
  <si>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</si>
  <si>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Task-7:</t>
  </si>
  <si>
    <t>Task-8:</t>
  </si>
  <si>
    <t>Present</t>
  </si>
  <si>
    <t>Status</t>
  </si>
  <si>
    <t>Task-9:</t>
  </si>
  <si>
    <t>Number 1</t>
  </si>
  <si>
    <t>Number 2</t>
  </si>
  <si>
    <t>Task-10</t>
  </si>
  <si>
    <t>Targets Achieved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</si>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</sst>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5"/>
  <sheetViews>
    <sheetView tabSelected="1" topLeftCell="A55" zoomScale="64" workbookViewId="0">
      <selection activeCell="H75" sqref="H75"/>
    </sheetView>
  </sheetViews>
  <sheetFormatPr defaultRowHeight="14.4" x14ac:dyDescent="0.3"/>
  <cols>
    <col min="1" max="1" width="16.44140625" bestFit="1" customWidth="1"/>
    <col min="2" max="2" width="16.21875" bestFit="1" customWidth="1"/>
    <col min="3" max="3" width="14" bestFit="1" customWidth="1"/>
    <col min="4" max="4" width="17.77734375" bestFit="1" customWidth="1"/>
  </cols>
  <sheetData>
    <row r="2" spans="1:4" x14ac:dyDescent="0.3">
      <c r="A2" s="1" t="s">
        <v>4</v>
      </c>
    </row>
    <row r="3" spans="1:4" x14ac:dyDescent="0.3">
      <c r="A3" t="s">
        <v>0</v>
      </c>
      <c r="B3" t="s">
        <v>1</v>
      </c>
      <c r="C3" t="str">
        <f>CONCATENATE(A3," ",B3)</f>
        <v>Devanshu Jadav</v>
      </c>
    </row>
    <row r="5" spans="1:4" x14ac:dyDescent="0.3">
      <c r="A5" s="1" t="s">
        <v>2</v>
      </c>
      <c r="B5" s="2" t="s">
        <v>5</v>
      </c>
    </row>
    <row r="6" spans="1:4" x14ac:dyDescent="0.3">
      <c r="A6" t="s">
        <v>6</v>
      </c>
      <c r="B6">
        <v>102567</v>
      </c>
    </row>
    <row r="7" spans="1:4" x14ac:dyDescent="0.3">
      <c r="A7" t="s">
        <v>3</v>
      </c>
      <c r="B7" t="str">
        <f>RIGHT(A7,LEN(A7)-FIND("-",A7))</f>
        <v>2045</v>
      </c>
      <c r="C7" t="str">
        <f>LEFT(A7,FIND("-",A7)-1)</f>
        <v>EMP</v>
      </c>
    </row>
    <row r="9" spans="1:4" x14ac:dyDescent="0.3">
      <c r="A9" s="4" t="s">
        <v>7</v>
      </c>
      <c r="B9" s="4" t="s">
        <v>8</v>
      </c>
      <c r="C9" s="4" t="s">
        <v>9</v>
      </c>
      <c r="D9" s="4" t="s">
        <v>10</v>
      </c>
    </row>
    <row r="10" spans="1:4" x14ac:dyDescent="0.3">
      <c r="A10" s="3" t="s">
        <v>11</v>
      </c>
      <c r="B10" s="3">
        <f ca="1">RANDBETWEEN(40,50)</f>
        <v>43</v>
      </c>
      <c r="C10" s="3">
        <f ca="1">RANDBETWEEN(70,90)</f>
        <v>80</v>
      </c>
      <c r="D10" s="3" t="str">
        <f ca="1">IF(AND(C10&gt;=90,B10&gt;=40),"Excellent", IF(AND(C10&gt;=80),"Good","Needs Improvement"))</f>
        <v>Good</v>
      </c>
    </row>
    <row r="11" spans="1:4" x14ac:dyDescent="0.3">
      <c r="A11" s="3" t="s">
        <v>12</v>
      </c>
      <c r="B11" s="3">
        <f t="shared" ref="B11:B14" ca="1" si="0">RANDBETWEEN(40,50)</f>
        <v>45</v>
      </c>
      <c r="C11" s="3">
        <f t="shared" ref="C11:C14" ca="1" si="1">RANDBETWEEN(70,90)</f>
        <v>81</v>
      </c>
      <c r="D11" s="3" t="str">
        <f t="shared" ref="D11:D14" ca="1" si="2">IF(AND(C11&gt;=90,B11&gt;=40),"Excellent", IF(AND(C11&gt;=80),"Good","Needs Improvement"))</f>
        <v>Good</v>
      </c>
    </row>
    <row r="12" spans="1:4" x14ac:dyDescent="0.3">
      <c r="A12" s="3" t="s">
        <v>13</v>
      </c>
      <c r="B12" s="3">
        <f t="shared" ca="1" si="0"/>
        <v>45</v>
      </c>
      <c r="C12" s="3">
        <f t="shared" ca="1" si="1"/>
        <v>72</v>
      </c>
      <c r="D12" s="3" t="str">
        <f t="shared" ca="1" si="2"/>
        <v>Needs Improvement</v>
      </c>
    </row>
    <row r="13" spans="1:4" x14ac:dyDescent="0.3">
      <c r="A13" s="3" t="s">
        <v>14</v>
      </c>
      <c r="B13" s="3">
        <f t="shared" ca="1" si="0"/>
        <v>43</v>
      </c>
      <c r="C13" s="3">
        <f t="shared" ca="1" si="1"/>
        <v>77</v>
      </c>
      <c r="D13" s="3" t="str">
        <f t="shared" ca="1" si="2"/>
        <v>Needs Improvement</v>
      </c>
    </row>
    <row r="14" spans="1:4" x14ac:dyDescent="0.3">
      <c r="A14" s="3" t="s">
        <v>15</v>
      </c>
      <c r="B14" s="3">
        <f t="shared" ca="1" si="0"/>
        <v>49</v>
      </c>
      <c r="C14" s="3">
        <f t="shared" ca="1" si="1"/>
        <v>72</v>
      </c>
      <c r="D14" s="3" t="str">
        <f t="shared" ca="1" si="2"/>
        <v>Needs Improvement</v>
      </c>
    </row>
    <row r="16" spans="1:4" x14ac:dyDescent="0.3">
      <c r="A16" s="1" t="s">
        <v>16</v>
      </c>
    </row>
    <row r="17" spans="1:4" ht="15" x14ac:dyDescent="0.3">
      <c r="A17" s="5" t="s">
        <v>17</v>
      </c>
      <c r="B17" s="5" t="s">
        <v>18</v>
      </c>
      <c r="C17" s="5" t="s">
        <v>19</v>
      </c>
      <c r="D17" s="5" t="s">
        <v>20</v>
      </c>
    </row>
    <row r="18" spans="1:4" ht="15" x14ac:dyDescent="0.3">
      <c r="A18" s="6">
        <v>1</v>
      </c>
      <c r="B18" s="6" t="s">
        <v>21</v>
      </c>
      <c r="C18" s="6">
        <v>78</v>
      </c>
      <c r="D18" s="6" t="str">
        <f>IF(C18&gt;=40,"Pass","Fail")</f>
        <v>Pass</v>
      </c>
    </row>
    <row r="19" spans="1:4" ht="15" x14ac:dyDescent="0.3">
      <c r="A19" s="7">
        <v>2</v>
      </c>
      <c r="B19" s="7" t="s">
        <v>22</v>
      </c>
      <c r="C19" s="7">
        <v>35</v>
      </c>
      <c r="D19" s="6" t="str">
        <f t="shared" ref="D19:D22" si="3">IF(C19&gt;=40,"Pass","Fail")</f>
        <v>Fail</v>
      </c>
    </row>
    <row r="20" spans="1:4" ht="15" x14ac:dyDescent="0.3">
      <c r="A20" s="6">
        <v>3</v>
      </c>
      <c r="B20" s="6" t="s">
        <v>23</v>
      </c>
      <c r="C20" s="6">
        <v>62</v>
      </c>
      <c r="D20" s="6" t="str">
        <f t="shared" si="3"/>
        <v>Pass</v>
      </c>
    </row>
    <row r="21" spans="1:4" ht="15" x14ac:dyDescent="0.3">
      <c r="A21" s="7">
        <v>4</v>
      </c>
      <c r="B21" s="7" t="s">
        <v>24</v>
      </c>
      <c r="C21" s="7">
        <v>40</v>
      </c>
      <c r="D21" s="6" t="str">
        <f t="shared" si="3"/>
        <v>Pass</v>
      </c>
    </row>
    <row r="22" spans="1:4" ht="15" x14ac:dyDescent="0.3">
      <c r="A22" s="6">
        <v>5</v>
      </c>
      <c r="B22" s="6" t="s">
        <v>25</v>
      </c>
      <c r="C22" s="6">
        <v>28</v>
      </c>
      <c r="D22" s="6" t="str">
        <f t="shared" si="3"/>
        <v>Fail</v>
      </c>
    </row>
    <row r="25" spans="1:4" x14ac:dyDescent="0.3">
      <c r="A25" s="1" t="s">
        <v>26</v>
      </c>
    </row>
    <row r="26" spans="1:4" ht="15" x14ac:dyDescent="0.3">
      <c r="A26" s="8" t="s">
        <v>27</v>
      </c>
      <c r="B26" s="8" t="s">
        <v>28</v>
      </c>
      <c r="C26" s="8" t="s">
        <v>29</v>
      </c>
    </row>
    <row r="27" spans="1:4" ht="15" x14ac:dyDescent="0.3">
      <c r="A27" s="6" t="s">
        <v>30</v>
      </c>
      <c r="B27" s="6">
        <v>28000</v>
      </c>
      <c r="C27" s="6" t="str">
        <f>IF(B27&gt;=40000,"Bonus","No Bonus")</f>
        <v>No Bonus</v>
      </c>
    </row>
    <row r="28" spans="1:4" ht="15" x14ac:dyDescent="0.3">
      <c r="A28" s="7" t="s">
        <v>31</v>
      </c>
      <c r="B28" s="7">
        <v>45000</v>
      </c>
      <c r="C28" s="6" t="str">
        <f t="shared" ref="C28:C30" si="4">IF(B28&gt;=40000,"Bonus","No Bonus")</f>
        <v>Bonus</v>
      </c>
    </row>
    <row r="29" spans="1:4" ht="15" x14ac:dyDescent="0.3">
      <c r="A29" s="6" t="s">
        <v>32</v>
      </c>
      <c r="B29" s="6">
        <v>52000</v>
      </c>
      <c r="C29" s="6" t="str">
        <f t="shared" si="4"/>
        <v>Bonus</v>
      </c>
    </row>
    <row r="30" spans="1:4" ht="15" x14ac:dyDescent="0.3">
      <c r="A30" s="7" t="s">
        <v>33</v>
      </c>
      <c r="B30" s="7">
        <v>30000</v>
      </c>
      <c r="C30" s="6" t="str">
        <f t="shared" si="4"/>
        <v>No Bonus</v>
      </c>
    </row>
    <row r="33" spans="1:4" x14ac:dyDescent="0.3">
      <c r="A33" s="1" t="s">
        <v>34</v>
      </c>
    </row>
    <row r="34" spans="1:4" ht="15" x14ac:dyDescent="0.3">
      <c r="A34" s="5" t="s">
        <v>18</v>
      </c>
      <c r="B34" s="5" t="s">
        <v>19</v>
      </c>
      <c r="C34" s="5" t="s">
        <v>35</v>
      </c>
    </row>
    <row r="35" spans="1:4" ht="15" x14ac:dyDescent="0.3">
      <c r="A35" s="6" t="s">
        <v>21</v>
      </c>
      <c r="B35" s="6">
        <v>82</v>
      </c>
      <c r="C35" s="6" t="str">
        <f>IF(B35&gt;=75,"A",IF(B35&gt;=60,"B",IF(B35&gt;=40,"C",IF(B35&lt;40,"Fail"))))</f>
        <v>A</v>
      </c>
    </row>
    <row r="36" spans="1:4" ht="15" x14ac:dyDescent="0.3">
      <c r="A36" s="7" t="s">
        <v>22</v>
      </c>
      <c r="B36" s="7">
        <v>67</v>
      </c>
      <c r="C36" s="6" t="str">
        <f t="shared" ref="C36:C39" si="5">IF(B36&gt;=75,"A",IF(B36&gt;=60,"B",IF(B36&gt;=40,"C",IF(B36&lt;40,"Fail"))))</f>
        <v>B</v>
      </c>
    </row>
    <row r="37" spans="1:4" ht="15" x14ac:dyDescent="0.3">
      <c r="A37" s="6" t="s">
        <v>23</v>
      </c>
      <c r="B37" s="6">
        <v>45</v>
      </c>
      <c r="C37" s="6" t="str">
        <f t="shared" si="5"/>
        <v>C</v>
      </c>
    </row>
    <row r="38" spans="1:4" ht="15" x14ac:dyDescent="0.3">
      <c r="A38" s="7" t="s">
        <v>24</v>
      </c>
      <c r="B38" s="7">
        <v>33</v>
      </c>
      <c r="C38" s="6" t="str">
        <f t="shared" si="5"/>
        <v>Fail</v>
      </c>
    </row>
    <row r="39" spans="1:4" ht="15" x14ac:dyDescent="0.3">
      <c r="A39" s="6" t="s">
        <v>25</v>
      </c>
      <c r="B39" s="6">
        <v>90</v>
      </c>
      <c r="C39" s="6" t="str">
        <f t="shared" si="5"/>
        <v>A</v>
      </c>
    </row>
    <row r="42" spans="1:4" x14ac:dyDescent="0.3">
      <c r="A42" s="1" t="s">
        <v>36</v>
      </c>
    </row>
    <row r="43" spans="1:4" ht="30" x14ac:dyDescent="0.3">
      <c r="A43" s="5" t="s">
        <v>37</v>
      </c>
      <c r="B43" s="5" t="s">
        <v>38</v>
      </c>
      <c r="C43" s="5" t="s">
        <v>39</v>
      </c>
      <c r="D43" s="5" t="s">
        <v>40</v>
      </c>
    </row>
    <row r="44" spans="1:4" ht="15" x14ac:dyDescent="0.3">
      <c r="A44" s="6" t="s">
        <v>30</v>
      </c>
      <c r="B44" s="6">
        <v>25</v>
      </c>
      <c r="C44" s="6">
        <v>2</v>
      </c>
      <c r="D44" s="6" t="str">
        <f>IF(AND(B44&gt;=21,C44&gt;=1),"Eligible","Not Eligible")</f>
        <v>Eligible</v>
      </c>
    </row>
    <row r="45" spans="1:4" ht="15" x14ac:dyDescent="0.3">
      <c r="A45" s="7" t="s">
        <v>31</v>
      </c>
      <c r="B45" s="7">
        <v>20</v>
      </c>
      <c r="C45" s="7">
        <v>1</v>
      </c>
      <c r="D45" s="6" t="str">
        <f t="shared" ref="D45:D47" si="6">IF(AND(B45&gt;=21,C45&gt;=1),"Eligible","Not Eligible")</f>
        <v>Not Eligible</v>
      </c>
    </row>
    <row r="46" spans="1:4" ht="15" x14ac:dyDescent="0.3">
      <c r="A46" s="6" t="s">
        <v>32</v>
      </c>
      <c r="B46" s="6">
        <v>30</v>
      </c>
      <c r="C46" s="6">
        <v>5</v>
      </c>
      <c r="D46" s="6" t="str">
        <f t="shared" si="6"/>
        <v>Eligible</v>
      </c>
    </row>
    <row r="47" spans="1:4" ht="15" x14ac:dyDescent="0.3">
      <c r="A47" s="7" t="s">
        <v>33</v>
      </c>
      <c r="B47" s="7">
        <v>22</v>
      </c>
      <c r="C47" s="7">
        <v>0</v>
      </c>
      <c r="D47" s="6" t="str">
        <f t="shared" si="6"/>
        <v>Not Eligible</v>
      </c>
    </row>
    <row r="50" spans="1:4" x14ac:dyDescent="0.3">
      <c r="A50" s="1" t="s">
        <v>41</v>
      </c>
    </row>
    <row r="51" spans="1:4" ht="30" x14ac:dyDescent="0.3">
      <c r="A51" s="5" t="s">
        <v>18</v>
      </c>
      <c r="B51" s="5" t="s">
        <v>9</v>
      </c>
      <c r="C51" s="5" t="s">
        <v>42</v>
      </c>
      <c r="D51" s="5" t="s">
        <v>40</v>
      </c>
    </row>
    <row r="52" spans="1:4" ht="15" x14ac:dyDescent="0.3">
      <c r="A52" s="6" t="s">
        <v>21</v>
      </c>
      <c r="B52" s="6">
        <v>85</v>
      </c>
      <c r="C52" s="6" t="s">
        <v>43</v>
      </c>
      <c r="D52" s="6" t="str">
        <f>IF(AND(B52&gt;=75,C52),"Eligible","Not Eligible")</f>
        <v>Eligible</v>
      </c>
    </row>
    <row r="53" spans="1:4" ht="15" x14ac:dyDescent="0.3">
      <c r="A53" s="7" t="s">
        <v>22</v>
      </c>
      <c r="B53" s="7">
        <v>72</v>
      </c>
      <c r="C53" s="7" t="s">
        <v>43</v>
      </c>
      <c r="D53" s="6" t="str">
        <f t="shared" ref="D53:D55" si="7">IF(AND(B53&gt;=75,C53),"Eligible","Not Eligible")</f>
        <v>Not Eligible</v>
      </c>
    </row>
    <row r="54" spans="1:4" ht="15" x14ac:dyDescent="0.3">
      <c r="A54" s="6" t="s">
        <v>23</v>
      </c>
      <c r="B54" s="6">
        <v>90</v>
      </c>
      <c r="C54" s="6" t="s">
        <v>44</v>
      </c>
      <c r="D54" s="6" t="str">
        <f t="shared" si="7"/>
        <v>Eligible</v>
      </c>
    </row>
    <row r="55" spans="1:4" ht="15" x14ac:dyDescent="0.3">
      <c r="A55" s="7" t="s">
        <v>24</v>
      </c>
      <c r="B55" s="7">
        <v>80</v>
      </c>
      <c r="C55" s="7" t="s">
        <v>43</v>
      </c>
      <c r="D55" s="6" t="str">
        <f t="shared" si="7"/>
        <v>Eligible</v>
      </c>
    </row>
    <row r="58" spans="1:4" x14ac:dyDescent="0.3">
      <c r="A58" s="1" t="s">
        <v>45</v>
      </c>
    </row>
    <row r="59" spans="1:4" ht="30" x14ac:dyDescent="0.3">
      <c r="A59" s="5" t="s">
        <v>46</v>
      </c>
      <c r="B59" s="5" t="s">
        <v>47</v>
      </c>
      <c r="C59" s="5" t="s">
        <v>48</v>
      </c>
      <c r="D59" s="5" t="s">
        <v>49</v>
      </c>
    </row>
    <row r="60" spans="1:4" ht="15" x14ac:dyDescent="0.3">
      <c r="A60" s="6" t="s">
        <v>50</v>
      </c>
      <c r="B60" s="6">
        <v>9000</v>
      </c>
      <c r="C60" s="6" t="s">
        <v>44</v>
      </c>
      <c r="D60" s="6" t="str">
        <f>IF(OR(B60&gt;=10000,C60),"No","Yes")</f>
        <v>Yes</v>
      </c>
    </row>
    <row r="61" spans="1:4" ht="15" x14ac:dyDescent="0.3">
      <c r="A61" s="7" t="s">
        <v>51</v>
      </c>
      <c r="B61" s="7">
        <v>12000</v>
      </c>
      <c r="C61" s="7" t="s">
        <v>44</v>
      </c>
      <c r="D61" s="6" t="str">
        <f t="shared" ref="D61:D63" si="8">IF(OR(B61&gt;=10000,C61),"No","Yes")</f>
        <v>No</v>
      </c>
    </row>
    <row r="62" spans="1:4" ht="15" x14ac:dyDescent="0.3">
      <c r="A62" s="6" t="s">
        <v>23</v>
      </c>
      <c r="B62" s="6">
        <v>4000</v>
      </c>
      <c r="C62" s="6" t="s">
        <v>43</v>
      </c>
      <c r="D62" s="6" t="str">
        <f t="shared" si="8"/>
        <v>Yes</v>
      </c>
    </row>
    <row r="63" spans="1:4" ht="15" x14ac:dyDescent="0.3">
      <c r="A63" s="7" t="s">
        <v>52</v>
      </c>
      <c r="B63" s="7">
        <v>3000</v>
      </c>
      <c r="C63" s="7" t="s">
        <v>44</v>
      </c>
      <c r="D63" s="6" t="str">
        <f t="shared" si="8"/>
        <v>Yes</v>
      </c>
    </row>
    <row r="66" spans="1:4" x14ac:dyDescent="0.3">
      <c r="A66" s="1" t="s">
        <v>56</v>
      </c>
    </row>
    <row r="67" spans="1:4" ht="15" x14ac:dyDescent="0.3">
      <c r="A67" s="5" t="s">
        <v>53</v>
      </c>
      <c r="B67" s="5" t="s">
        <v>28</v>
      </c>
      <c r="C67" s="5" t="s">
        <v>54</v>
      </c>
      <c r="D67" s="5" t="s">
        <v>55</v>
      </c>
    </row>
    <row r="68" spans="1:4" ht="15" x14ac:dyDescent="0.3">
      <c r="A68" s="6" t="s">
        <v>30</v>
      </c>
      <c r="B68" s="6">
        <v>35000</v>
      </c>
      <c r="C68" s="6">
        <v>720</v>
      </c>
      <c r="D68" s="6" t="str">
        <f>IF(OR(B68&gt;=40000,C68&gt;=700),"Yes","No")</f>
        <v>Yes</v>
      </c>
    </row>
    <row r="69" spans="1:4" ht="15" x14ac:dyDescent="0.3">
      <c r="A69" s="7" t="s">
        <v>31</v>
      </c>
      <c r="B69" s="7">
        <v>25000</v>
      </c>
      <c r="C69" s="7">
        <v>680</v>
      </c>
      <c r="D69" s="6" t="str">
        <f t="shared" ref="D69:D71" si="9">IF(OR(B69&gt;=40000,C69&gt;=700),"Yes","No")</f>
        <v>No</v>
      </c>
    </row>
    <row r="70" spans="1:4" ht="15" x14ac:dyDescent="0.3">
      <c r="A70" s="6" t="s">
        <v>32</v>
      </c>
      <c r="B70" s="6">
        <v>50000</v>
      </c>
      <c r="C70" s="6">
        <v>650</v>
      </c>
      <c r="D70" s="6" t="str">
        <f t="shared" si="9"/>
        <v>Yes</v>
      </c>
    </row>
    <row r="71" spans="1:4" ht="15" x14ac:dyDescent="0.3">
      <c r="A71" s="7" t="s">
        <v>33</v>
      </c>
      <c r="B71" s="7">
        <v>20000</v>
      </c>
      <c r="C71" s="7">
        <v>600</v>
      </c>
      <c r="D71" s="6" t="str">
        <f t="shared" si="9"/>
        <v>No</v>
      </c>
    </row>
    <row r="74" spans="1:4" x14ac:dyDescent="0.3">
      <c r="A74" s="1" t="s">
        <v>57</v>
      </c>
    </row>
    <row r="75" spans="1:4" ht="15" x14ac:dyDescent="0.3">
      <c r="A75" s="5" t="s">
        <v>37</v>
      </c>
      <c r="B75" s="5" t="s">
        <v>58</v>
      </c>
      <c r="C75" s="5" t="s">
        <v>59</v>
      </c>
    </row>
    <row r="76" spans="1:4" ht="15" x14ac:dyDescent="0.3">
      <c r="A76" s="6" t="s">
        <v>21</v>
      </c>
      <c r="B76" s="6" t="b">
        <v>1</v>
      </c>
      <c r="C76" s="6" t="str">
        <f>IF(NOT(B76),"Absent","Present")</f>
        <v>Present</v>
      </c>
    </row>
    <row r="77" spans="1:4" ht="15" x14ac:dyDescent="0.3">
      <c r="A77" s="7" t="s">
        <v>22</v>
      </c>
      <c r="B77" s="7" t="b">
        <v>0</v>
      </c>
      <c r="C77" s="6" t="str">
        <f t="shared" ref="C77:C79" si="10">IF(NOT(B77),"Absent","Present")</f>
        <v>Absent</v>
      </c>
    </row>
    <row r="78" spans="1:4" ht="15" x14ac:dyDescent="0.3">
      <c r="A78" s="6" t="s">
        <v>23</v>
      </c>
      <c r="B78" s="6" t="b">
        <v>1</v>
      </c>
      <c r="C78" s="6" t="str">
        <f t="shared" si="10"/>
        <v>Present</v>
      </c>
    </row>
    <row r="79" spans="1:4" ht="15" x14ac:dyDescent="0.3">
      <c r="A79" s="7" t="s">
        <v>24</v>
      </c>
      <c r="B79" s="7" t="b">
        <v>0</v>
      </c>
      <c r="C79" s="6" t="str">
        <f t="shared" si="10"/>
        <v>Absent</v>
      </c>
    </row>
    <row r="82" spans="1:4" x14ac:dyDescent="0.3">
      <c r="A82" s="1" t="s">
        <v>60</v>
      </c>
    </row>
    <row r="83" spans="1:4" ht="15" x14ac:dyDescent="0.3">
      <c r="A83" s="5" t="s">
        <v>61</v>
      </c>
      <c r="B83" s="5" t="s">
        <v>62</v>
      </c>
      <c r="C83" s="5" t="s">
        <v>20</v>
      </c>
    </row>
    <row r="84" spans="1:4" ht="15" x14ac:dyDescent="0.3">
      <c r="A84" s="6">
        <v>10</v>
      </c>
      <c r="B84" s="6">
        <v>2</v>
      </c>
      <c r="C84" s="6">
        <f>IFERROR(A84/B84,"Invalid")</f>
        <v>5</v>
      </c>
    </row>
    <row r="85" spans="1:4" ht="15" x14ac:dyDescent="0.3">
      <c r="A85" s="7">
        <v>15</v>
      </c>
      <c r="B85" s="7">
        <v>0</v>
      </c>
      <c r="C85" s="6" t="str">
        <f t="shared" ref="C85:C87" si="11">IFERROR(A85/B85,"Invalid")</f>
        <v>Invalid</v>
      </c>
    </row>
    <row r="86" spans="1:4" ht="15" x14ac:dyDescent="0.3">
      <c r="A86" s="6">
        <v>20</v>
      </c>
      <c r="B86" s="6">
        <v>5</v>
      </c>
      <c r="C86" s="6">
        <f t="shared" si="11"/>
        <v>4</v>
      </c>
    </row>
    <row r="87" spans="1:4" ht="15" x14ac:dyDescent="0.3">
      <c r="A87" s="7">
        <v>8</v>
      </c>
      <c r="B87" s="7">
        <v>0</v>
      </c>
      <c r="C87" s="6" t="str">
        <f t="shared" si="11"/>
        <v>Invalid</v>
      </c>
    </row>
    <row r="90" spans="1:4" x14ac:dyDescent="0.3">
      <c r="A90" s="1" t="s">
        <v>63</v>
      </c>
    </row>
    <row r="91" spans="1:4" ht="30" x14ac:dyDescent="0.3">
      <c r="A91" s="5" t="s">
        <v>27</v>
      </c>
      <c r="B91" s="5" t="s">
        <v>64</v>
      </c>
      <c r="C91" s="5" t="s">
        <v>9</v>
      </c>
      <c r="D91" s="5" t="s">
        <v>10</v>
      </c>
    </row>
    <row r="92" spans="1:4" ht="15" x14ac:dyDescent="0.3">
      <c r="A92" s="6" t="s">
        <v>65</v>
      </c>
      <c r="B92" s="6">
        <v>45</v>
      </c>
      <c r="C92" s="6">
        <v>92</v>
      </c>
      <c r="D92" s="6" t="str">
        <f>IF(C92&gt;=40,"Excellent",IF(C92&gt;=80,"Good","Needs Improvement"))</f>
        <v>Excellent</v>
      </c>
    </row>
    <row r="93" spans="1:4" ht="15" x14ac:dyDescent="0.3">
      <c r="A93" s="7" t="s">
        <v>12</v>
      </c>
      <c r="B93" s="7">
        <v>38</v>
      </c>
      <c r="C93" s="7">
        <v>85</v>
      </c>
      <c r="D93" s="6" t="str">
        <f t="shared" ref="D93:D95" si="12">IF(C93&gt;=40,"Excellent",IF(C93&gt;=80,"Good","Needs Improvement"))</f>
        <v>Excellent</v>
      </c>
    </row>
    <row r="94" spans="1:4" ht="15" x14ac:dyDescent="0.3">
      <c r="A94" s="6" t="s">
        <v>13</v>
      </c>
      <c r="B94" s="6">
        <v>50</v>
      </c>
      <c r="C94" s="6">
        <v>95</v>
      </c>
      <c r="D94" s="6" t="str">
        <f t="shared" si="12"/>
        <v>Excellent</v>
      </c>
    </row>
    <row r="95" spans="1:4" ht="15" x14ac:dyDescent="0.3">
      <c r="A95" s="7" t="s">
        <v>14</v>
      </c>
      <c r="B95" s="7">
        <v>30</v>
      </c>
      <c r="C95" s="7">
        <v>70</v>
      </c>
      <c r="D95" s="6" t="str">
        <f t="shared" si="12"/>
        <v>Excellent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</dc:creator>
  <cp:lastModifiedBy>Devanshu Jadav</cp:lastModifiedBy>
  <dcterms:created xsi:type="dcterms:W3CDTF">2015-06-05T18:17:20Z</dcterms:created>
  <dcterms:modified xsi:type="dcterms:W3CDTF">2026-06-24T10:20:25Z</dcterms:modified>
</cp:coreProperties>
</file>