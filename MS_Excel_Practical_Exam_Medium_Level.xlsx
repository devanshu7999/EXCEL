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vanshu\Desktop\Python\jupyter projects\EXCEL\"/>
    </mc:Choice>
  </mc:AlternateContent>
  <xr:revisionPtr revIDLastSave="0" documentId="13_ncr:1_{CC3DD9DA-E362-4A83-B35C-B2CEE88B879D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Instructions" sheetId="1" r:id="rId1"/>
    <sheet name="Sales_Data" sheetId="2" r:id="rId2"/>
    <sheet name="Product_Master" sheetId="3" r:id="rId3"/>
    <sheet name="Student_Marks" sheetId="4" r:id="rId4"/>
    <sheet name="Questions" sheetId="5" r:id="rId5"/>
    <sheet name="Answer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1" i="6" l="1"/>
  <c r="B27" i="6"/>
  <c r="K8" i="2"/>
  <c r="B19" i="6"/>
  <c r="B20" i="6"/>
  <c r="B21" i="6"/>
  <c r="B22" i="6"/>
  <c r="B18" i="6"/>
  <c r="B17" i="6"/>
  <c r="K3" i="2"/>
  <c r="K4" i="2"/>
  <c r="K5" i="2"/>
  <c r="K6" i="2"/>
  <c r="K7" i="2"/>
  <c r="K2" i="2"/>
  <c r="J7" i="2"/>
  <c r="J6" i="2"/>
  <c r="J5" i="2"/>
  <c r="J3" i="2"/>
  <c r="J4" i="2"/>
  <c r="J2" i="2"/>
  <c r="B12" i="6"/>
  <c r="B4" i="6"/>
  <c r="B5" i="6"/>
  <c r="B6" i="6"/>
  <c r="B7" i="6"/>
  <c r="B8" i="6"/>
  <c r="B3" i="6"/>
  <c r="I3" i="2"/>
  <c r="I4" i="2"/>
  <c r="I5" i="2"/>
  <c r="I6" i="2"/>
  <c r="I7" i="2"/>
  <c r="I2" i="2"/>
  <c r="J32" i="5"/>
</calcChain>
</file>

<file path=xl/sharedStrings.xml><?xml version="1.0" encoding="utf-8"?>
<sst xmlns="http://schemas.openxmlformats.org/spreadsheetml/2006/main" count="107" uniqueCount="86">
  <si>
    <t>Total Questions: 30</t>
  </si>
  <si>
    <t>Difficulty Level: Medium</t>
  </si>
  <si>
    <t>Syllabus: Formulas, Logical Functions, Lookups, INDEX-MATCH, Pivot Tables &amp; Charts, Data Analysis</t>
  </si>
  <si>
    <t>Attempt all questions using appropriate Excel tools/functions.</t>
  </si>
  <si>
    <t>Order_ID</t>
  </si>
  <si>
    <t>Region</t>
  </si>
  <si>
    <t>Salesperson</t>
  </si>
  <si>
    <t>Product</t>
  </si>
  <si>
    <t>Quantity</t>
  </si>
  <si>
    <t>Unit_Price</t>
  </si>
  <si>
    <t>Sales_Date</t>
  </si>
  <si>
    <t>North</t>
  </si>
  <si>
    <t>Amit</t>
  </si>
  <si>
    <t>Laptop</t>
  </si>
  <si>
    <t>05-01-2025</t>
  </si>
  <si>
    <t>South</t>
  </si>
  <si>
    <t>Riya</t>
  </si>
  <si>
    <t>Mobile</t>
  </si>
  <si>
    <t>07-01-2025</t>
  </si>
  <si>
    <t>East</t>
  </si>
  <si>
    <t>Kunal</t>
  </si>
  <si>
    <t>Tablet</t>
  </si>
  <si>
    <t>10-01-2025</t>
  </si>
  <si>
    <t>West</t>
  </si>
  <si>
    <t>Neha</t>
  </si>
  <si>
    <t>12-01-2025</t>
  </si>
  <si>
    <t>15-01-2025</t>
  </si>
  <si>
    <t>18-01-2025</t>
  </si>
  <si>
    <t>Category</t>
  </si>
  <si>
    <t>GST_%</t>
  </si>
  <si>
    <t>Electronics</t>
  </si>
  <si>
    <t>Student_ID</t>
  </si>
  <si>
    <t>Name</t>
  </si>
  <si>
    <t>Maths</t>
  </si>
  <si>
    <t>Statistics</t>
  </si>
  <si>
    <t>Excel</t>
  </si>
  <si>
    <t>Attendance_%</t>
  </si>
  <si>
    <t>Rahul</t>
  </si>
  <si>
    <t>Sneha</t>
  </si>
  <si>
    <t>Arjun</t>
  </si>
  <si>
    <t>Pooja</t>
  </si>
  <si>
    <t>Vikas</t>
  </si>
  <si>
    <t>1. Calculate Total Sales for each order (Quantity × Unit_Price).</t>
  </si>
  <si>
    <t>2. Calculate GST Amount using VLOOKUP from Product_Master.</t>
  </si>
  <si>
    <t>3. Find Final Amount payable (Total Sales + GST).</t>
  </si>
  <si>
    <t>4. Find Grand Total of Final Amount.</t>
  </si>
  <si>
    <t>5. Count total number of orders using COUNTA.</t>
  </si>
  <si>
    <t>6. Find Region-wise total sales using SUMIF.</t>
  </si>
  <si>
    <t>7. Use IF to classify Quantity as High (&gt;3) or Low (&lt;=3).</t>
  </si>
  <si>
    <t>8. Find the maximum and minimum Final Amount.</t>
  </si>
  <si>
    <t>9. Extract month name from Sales_Date.</t>
  </si>
  <si>
    <t>10. Sort Sales_Data by Final Amount (Descending).</t>
  </si>
  <si>
    <t>11. Use INDEX-MATCH to fetch Product Category.</t>
  </si>
  <si>
    <t>12. Calculate average marks of each student.</t>
  </si>
  <si>
    <t>13. Find the topper based on average marks.</t>
  </si>
  <si>
    <t>14. Count students with Attendance above 90%.</t>
  </si>
  <si>
    <t>15. Use IF to classify students as Eligible (Attendance &gt;= 85%).</t>
  </si>
  <si>
    <t>16. Create a Pivot Table showing Product-wise Total Sales.</t>
  </si>
  <si>
    <t>17. Create a Pivot Table showing Region-wise Total Sales.</t>
  </si>
  <si>
    <t>18. Insert a Pivot Chart for Product-wise Sales.</t>
  </si>
  <si>
    <t>19. Create a Bar Chart for Student Excel marks.</t>
  </si>
  <si>
    <t>20. Find Median of Statistics marks.</t>
  </si>
  <si>
    <t>21. Find Standard Deviation of Excel marks.</t>
  </si>
  <si>
    <t>22. Use CONCAT to combine Student_ID and Name.</t>
  </si>
  <si>
    <t>23. Use LEFT function to extract first 2 letters of Salesperson name.</t>
  </si>
  <si>
    <t>24. Apply Conditional Formatting to highlight Final Amount &gt; 60000.</t>
  </si>
  <si>
    <t>25. Filter orders where Product is Laptop and Quantity &gt; 1.</t>
  </si>
  <si>
    <t>26. Use COUNTIFS to count Laptop orders in North region.</t>
  </si>
  <si>
    <t>27. Use ROUND to round Unit_Price to nearest thousand.</t>
  </si>
  <si>
    <t>28. Remove duplicate records if present.</t>
  </si>
  <si>
    <t>29. Freeze top row in Sales_Data sheet.</t>
  </si>
  <si>
    <t>30. Protect the Student_Marks sheet.</t>
  </si>
  <si>
    <t>MS Excel Practical Exam</t>
  </si>
  <si>
    <t>Ans-1</t>
  </si>
  <si>
    <t>Total Sales</t>
  </si>
  <si>
    <t>Ans-2</t>
  </si>
  <si>
    <t xml:space="preserve">GST </t>
  </si>
  <si>
    <t>Ans-3</t>
  </si>
  <si>
    <t>GST</t>
  </si>
  <si>
    <t>Final Amount Payable</t>
  </si>
  <si>
    <t>Final Amount Payable (Total Sales + GST)</t>
  </si>
  <si>
    <t>Ans-4</t>
  </si>
  <si>
    <t>Grand Total :</t>
  </si>
  <si>
    <t>Grand Total of Final Amount Payable</t>
  </si>
  <si>
    <t>Ans-5</t>
  </si>
  <si>
    <t>Ans-6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</si>
</sst>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activeCell="E4" sqref="E4"/>
    </sheetView>
  </sheetViews>
  <sheetFormatPr defaultRowHeight="14.4" x14ac:dyDescent="0.3"/>
  <sheetData>
    <row r="1" spans="1:1" x14ac:dyDescent="0.3">
      <c r="A1" t="s">
        <v>72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"/>
  <sheetViews>
    <sheetView workbookViewId="0">
      <selection activeCell="J9" sqref="J9"/>
    </sheetView>
  </sheetViews>
  <sheetFormatPr defaultRowHeight="14.4" x14ac:dyDescent="0.3"/>
  <cols>
    <col min="10" max="10" width="12.88671875" customWidth="1"/>
    <col min="11" max="11" width="18.6640625" bestFit="1" customWidth="1"/>
  </cols>
  <sheetData>
    <row r="1" spans="1:11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I1" t="s">
        <v>74</v>
      </c>
      <c r="J1" s="2" t="s">
        <v>78</v>
      </c>
      <c r="K1" t="s">
        <v>79</v>
      </c>
    </row>
    <row r="2" spans="1:11" x14ac:dyDescent="0.3">
      <c r="A2">
        <v>301</v>
      </c>
      <c r="B2" t="s">
        <v>11</v>
      </c>
      <c r="C2" t="s">
        <v>12</v>
      </c>
      <c r="D2" t="s">
        <v>13</v>
      </c>
      <c r="E2">
        <v>2</v>
      </c>
      <c r="F2">
        <v>45000</v>
      </c>
      <c r="G2" t="s">
        <v>14</v>
      </c>
      <c r="I2">
        <f>Sales_Data!E2*Sales_Data!F2</f>
        <v>90000</v>
      </c>
      <c r="J2">
        <f>VLOOKUP(D2,Product_Master!A1:C4,3,0)</f>
        <v>18</v>
      </c>
      <c r="K2">
        <f>I2+(J2% * I2)</f>
        <v>106200</v>
      </c>
    </row>
    <row r="3" spans="1:11" x14ac:dyDescent="0.3">
      <c r="A3">
        <v>302</v>
      </c>
      <c r="B3" t="s">
        <v>15</v>
      </c>
      <c r="C3" t="s">
        <v>16</v>
      </c>
      <c r="D3" t="s">
        <v>17</v>
      </c>
      <c r="E3">
        <v>5</v>
      </c>
      <c r="F3">
        <v>15000</v>
      </c>
      <c r="G3" t="s">
        <v>18</v>
      </c>
      <c r="I3">
        <f>Sales_Data!E3*Sales_Data!F3</f>
        <v>75000</v>
      </c>
      <c r="J3">
        <f>VLOOKUP(D3,Product_Master!A2:C5,3,0)</f>
        <v>12</v>
      </c>
      <c r="K3">
        <f t="shared" ref="K3:K7" si="0">I3+(J3% * I3)</f>
        <v>84000</v>
      </c>
    </row>
    <row r="4" spans="1:11" x14ac:dyDescent="0.3">
      <c r="A4">
        <v>303</v>
      </c>
      <c r="B4" t="s">
        <v>19</v>
      </c>
      <c r="C4" t="s">
        <v>20</v>
      </c>
      <c r="D4" t="s">
        <v>21</v>
      </c>
      <c r="E4">
        <v>3</v>
      </c>
      <c r="F4">
        <v>18000</v>
      </c>
      <c r="G4" t="s">
        <v>22</v>
      </c>
      <c r="I4">
        <f>Sales_Data!E4*Sales_Data!F4</f>
        <v>54000</v>
      </c>
      <c r="J4">
        <f>VLOOKUP(D4,Product_Master!A3:C6,3,0)</f>
        <v>12</v>
      </c>
      <c r="K4">
        <f t="shared" si="0"/>
        <v>60480</v>
      </c>
    </row>
    <row r="5" spans="1:11" x14ac:dyDescent="0.3">
      <c r="A5">
        <v>304</v>
      </c>
      <c r="B5" t="s">
        <v>23</v>
      </c>
      <c r="C5" t="s">
        <v>24</v>
      </c>
      <c r="D5" t="s">
        <v>13</v>
      </c>
      <c r="E5">
        <v>1</v>
      </c>
      <c r="F5">
        <v>45000</v>
      </c>
      <c r="G5" t="s">
        <v>25</v>
      </c>
      <c r="I5">
        <f>Sales_Data!E5*Sales_Data!F5</f>
        <v>45000</v>
      </c>
      <c r="J5">
        <f>VLOOKUP(D5,Product_Master!A1:C4,3,0)</f>
        <v>18</v>
      </c>
      <c r="K5">
        <f t="shared" si="0"/>
        <v>53100</v>
      </c>
    </row>
    <row r="6" spans="1:11" x14ac:dyDescent="0.3">
      <c r="A6">
        <v>305</v>
      </c>
      <c r="B6" t="s">
        <v>11</v>
      </c>
      <c r="C6" t="s">
        <v>12</v>
      </c>
      <c r="D6" t="s">
        <v>17</v>
      </c>
      <c r="E6">
        <v>4</v>
      </c>
      <c r="F6">
        <v>15000</v>
      </c>
      <c r="G6" t="s">
        <v>26</v>
      </c>
      <c r="I6">
        <f>Sales_Data!E6*Sales_Data!F6</f>
        <v>60000</v>
      </c>
      <c r="J6">
        <f>VLOOKUP(D6,Product_Master!A2:C5,3,0)</f>
        <v>12</v>
      </c>
      <c r="K6">
        <f t="shared" si="0"/>
        <v>67200</v>
      </c>
    </row>
    <row r="7" spans="1:11" x14ac:dyDescent="0.3">
      <c r="A7">
        <v>306</v>
      </c>
      <c r="B7" t="s">
        <v>15</v>
      </c>
      <c r="C7" t="s">
        <v>16</v>
      </c>
      <c r="D7" t="s">
        <v>13</v>
      </c>
      <c r="E7">
        <v>2</v>
      </c>
      <c r="F7">
        <v>45000</v>
      </c>
      <c r="G7" t="s">
        <v>27</v>
      </c>
      <c r="I7">
        <f>Sales_Data!E7*Sales_Data!F7</f>
        <v>90000</v>
      </c>
      <c r="J7">
        <f>VLOOKUP(D7,Product_Master!A1:C4,3,0)</f>
        <v>18</v>
      </c>
      <c r="K7">
        <f t="shared" si="0"/>
        <v>106200</v>
      </c>
    </row>
    <row r="8" spans="1:11" x14ac:dyDescent="0.3">
      <c r="J8" t="s">
        <v>82</v>
      </c>
      <c r="K8">
        <f>SUM(K2:K7)</f>
        <v>477180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D2" sqref="D2"/>
    </sheetView>
  </sheetViews>
  <sheetFormatPr defaultRowHeight="14.4" x14ac:dyDescent="0.3"/>
  <sheetData>
    <row r="1" spans="1:3" x14ac:dyDescent="0.3">
      <c r="A1" t="s">
        <v>7</v>
      </c>
      <c r="B1" t="s">
        <v>28</v>
      </c>
      <c r="C1" t="s">
        <v>29</v>
      </c>
    </row>
    <row r="2" spans="1:3" x14ac:dyDescent="0.3">
      <c r="A2" t="s">
        <v>13</v>
      </c>
      <c r="B2" t="s">
        <v>30</v>
      </c>
      <c r="C2">
        <v>18</v>
      </c>
    </row>
    <row r="3" spans="1:3" x14ac:dyDescent="0.3">
      <c r="A3" t="s">
        <v>17</v>
      </c>
      <c r="B3" t="s">
        <v>30</v>
      </c>
      <c r="C3">
        <v>12</v>
      </c>
    </row>
    <row r="4" spans="1:3" x14ac:dyDescent="0.3">
      <c r="A4" t="s">
        <v>21</v>
      </c>
      <c r="B4" t="s">
        <v>30</v>
      </c>
      <c r="C4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selection activeCell="E16" sqref="E16"/>
    </sheetView>
  </sheetViews>
  <sheetFormatPr defaultRowHeight="14.4" x14ac:dyDescent="0.3"/>
  <sheetData>
    <row r="1" spans="1:6" x14ac:dyDescent="0.3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 x14ac:dyDescent="0.3">
      <c r="A2">
        <v>1</v>
      </c>
      <c r="B2" t="s">
        <v>37</v>
      </c>
      <c r="C2">
        <v>78</v>
      </c>
      <c r="D2">
        <v>82</v>
      </c>
      <c r="E2">
        <v>85</v>
      </c>
      <c r="F2">
        <v>92</v>
      </c>
    </row>
    <row r="3" spans="1:6" x14ac:dyDescent="0.3">
      <c r="A3">
        <v>2</v>
      </c>
      <c r="B3" t="s">
        <v>38</v>
      </c>
      <c r="C3">
        <v>88</v>
      </c>
      <c r="D3">
        <v>91</v>
      </c>
      <c r="E3">
        <v>90</v>
      </c>
      <c r="F3">
        <v>96</v>
      </c>
    </row>
    <row r="4" spans="1:6" x14ac:dyDescent="0.3">
      <c r="A4">
        <v>3</v>
      </c>
      <c r="B4" t="s">
        <v>39</v>
      </c>
      <c r="C4">
        <v>65</v>
      </c>
      <c r="D4">
        <v>70</v>
      </c>
      <c r="E4">
        <v>72</v>
      </c>
      <c r="F4">
        <v>85</v>
      </c>
    </row>
    <row r="5" spans="1:6" x14ac:dyDescent="0.3">
      <c r="A5">
        <v>4</v>
      </c>
      <c r="B5" t="s">
        <v>40</v>
      </c>
      <c r="C5">
        <v>92</v>
      </c>
      <c r="D5">
        <v>89</v>
      </c>
      <c r="E5">
        <v>94</v>
      </c>
      <c r="F5">
        <v>98</v>
      </c>
    </row>
    <row r="6" spans="1:6" x14ac:dyDescent="0.3">
      <c r="A6">
        <v>5</v>
      </c>
      <c r="B6" t="s">
        <v>41</v>
      </c>
      <c r="C6">
        <v>55</v>
      </c>
      <c r="D6">
        <v>60</v>
      </c>
      <c r="E6">
        <v>58</v>
      </c>
      <c r="F6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2"/>
  <sheetViews>
    <sheetView workbookViewId="0">
      <selection activeCell="C7" sqref="C7"/>
    </sheetView>
  </sheetViews>
  <sheetFormatPr defaultRowHeight="14.4" x14ac:dyDescent="0.3"/>
  <sheetData>
    <row r="1" spans="1:10" x14ac:dyDescent="0.3">
      <c r="A1" t="s">
        <v>42</v>
      </c>
      <c r="J1">
        <v>2</v>
      </c>
    </row>
    <row r="2" spans="1:10" x14ac:dyDescent="0.3">
      <c r="A2" t="s">
        <v>43</v>
      </c>
      <c r="J2">
        <v>2</v>
      </c>
    </row>
    <row r="3" spans="1:10" x14ac:dyDescent="0.3">
      <c r="A3" t="s">
        <v>44</v>
      </c>
      <c r="J3">
        <v>2</v>
      </c>
    </row>
    <row r="4" spans="1:10" x14ac:dyDescent="0.3">
      <c r="A4" t="s">
        <v>45</v>
      </c>
      <c r="J4">
        <v>2</v>
      </c>
    </row>
    <row r="5" spans="1:10" x14ac:dyDescent="0.3">
      <c r="A5" t="s">
        <v>46</v>
      </c>
      <c r="J5">
        <v>2</v>
      </c>
    </row>
    <row r="6" spans="1:10" x14ac:dyDescent="0.3">
      <c r="A6" t="s">
        <v>47</v>
      </c>
      <c r="J6">
        <v>2</v>
      </c>
    </row>
    <row r="7" spans="1:10" x14ac:dyDescent="0.3">
      <c r="A7" t="s">
        <v>48</v>
      </c>
      <c r="J7">
        <v>2</v>
      </c>
    </row>
    <row r="8" spans="1:10" x14ac:dyDescent="0.3">
      <c r="A8" t="s">
        <v>49</v>
      </c>
      <c r="J8">
        <v>2</v>
      </c>
    </row>
    <row r="9" spans="1:10" x14ac:dyDescent="0.3">
      <c r="A9" t="s">
        <v>50</v>
      </c>
      <c r="J9">
        <v>2</v>
      </c>
    </row>
    <row r="10" spans="1:10" x14ac:dyDescent="0.3">
      <c r="A10" t="s">
        <v>51</v>
      </c>
      <c r="J10">
        <v>2</v>
      </c>
    </row>
    <row r="11" spans="1:10" x14ac:dyDescent="0.3">
      <c r="A11" t="s">
        <v>52</v>
      </c>
      <c r="J11">
        <v>2</v>
      </c>
    </row>
    <row r="12" spans="1:10" x14ac:dyDescent="0.3">
      <c r="A12" t="s">
        <v>53</v>
      </c>
      <c r="J12">
        <v>2</v>
      </c>
    </row>
    <row r="13" spans="1:10" x14ac:dyDescent="0.3">
      <c r="A13" t="s">
        <v>54</v>
      </c>
      <c r="J13">
        <v>2</v>
      </c>
    </row>
    <row r="14" spans="1:10" x14ac:dyDescent="0.3">
      <c r="A14" t="s">
        <v>55</v>
      </c>
      <c r="J14">
        <v>2</v>
      </c>
    </row>
    <row r="15" spans="1:10" x14ac:dyDescent="0.3">
      <c r="A15" t="s">
        <v>56</v>
      </c>
      <c r="J15">
        <v>2</v>
      </c>
    </row>
    <row r="16" spans="1:10" x14ac:dyDescent="0.3">
      <c r="A16" t="s">
        <v>57</v>
      </c>
      <c r="J16">
        <v>2</v>
      </c>
    </row>
    <row r="17" spans="1:10" x14ac:dyDescent="0.3">
      <c r="A17" t="s">
        <v>58</v>
      </c>
      <c r="J17">
        <v>2</v>
      </c>
    </row>
    <row r="18" spans="1:10" x14ac:dyDescent="0.3">
      <c r="A18" t="s">
        <v>59</v>
      </c>
      <c r="J18">
        <v>2</v>
      </c>
    </row>
    <row r="19" spans="1:10" x14ac:dyDescent="0.3">
      <c r="A19" t="s">
        <v>60</v>
      </c>
      <c r="J19">
        <v>2</v>
      </c>
    </row>
    <row r="20" spans="1:10" x14ac:dyDescent="0.3">
      <c r="A20" t="s">
        <v>61</v>
      </c>
      <c r="J20">
        <v>2</v>
      </c>
    </row>
    <row r="21" spans="1:10" x14ac:dyDescent="0.3">
      <c r="A21" t="s">
        <v>62</v>
      </c>
      <c r="J21">
        <v>2</v>
      </c>
    </row>
    <row r="22" spans="1:10" x14ac:dyDescent="0.3">
      <c r="A22" t="s">
        <v>63</v>
      </c>
      <c r="J22">
        <v>2</v>
      </c>
    </row>
    <row r="23" spans="1:10" x14ac:dyDescent="0.3">
      <c r="A23" t="s">
        <v>64</v>
      </c>
      <c r="J23">
        <v>2</v>
      </c>
    </row>
    <row r="24" spans="1:10" x14ac:dyDescent="0.3">
      <c r="A24" t="s">
        <v>65</v>
      </c>
      <c r="J24">
        <v>2</v>
      </c>
    </row>
    <row r="25" spans="1:10" x14ac:dyDescent="0.3">
      <c r="A25" t="s">
        <v>66</v>
      </c>
      <c r="J25">
        <v>2</v>
      </c>
    </row>
    <row r="26" spans="1:10" x14ac:dyDescent="0.3">
      <c r="A26" t="s">
        <v>67</v>
      </c>
      <c r="J26">
        <v>2</v>
      </c>
    </row>
    <row r="27" spans="1:10" x14ac:dyDescent="0.3">
      <c r="A27" t="s">
        <v>68</v>
      </c>
      <c r="J27">
        <v>2</v>
      </c>
    </row>
    <row r="28" spans="1:10" x14ac:dyDescent="0.3">
      <c r="A28" t="s">
        <v>69</v>
      </c>
      <c r="J28">
        <v>2</v>
      </c>
    </row>
    <row r="29" spans="1:10" x14ac:dyDescent="0.3">
      <c r="A29" t="s">
        <v>70</v>
      </c>
      <c r="J29">
        <v>2</v>
      </c>
    </row>
    <row r="30" spans="1:10" x14ac:dyDescent="0.3">
      <c r="A30" t="s">
        <v>71</v>
      </c>
      <c r="J30">
        <v>2</v>
      </c>
    </row>
    <row r="32" spans="1:10" x14ac:dyDescent="0.3">
      <c r="J32">
        <f>SUM(J1:J30)</f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F8C8F-A8D0-4C7C-BEBE-60E84F6E3515}">
  <dimension ref="A1:C39"/>
  <sheetViews>
    <sheetView tabSelected="1" zoomScale="83" workbookViewId="0">
      <selection activeCell="B4" sqref="B4"/>
    </sheetView>
  </sheetViews>
  <sheetFormatPr defaultRowHeight="14.4" x14ac:dyDescent="0.3"/>
  <cols>
    <col min="2" max="2" width="34.44140625" bestFit="1" customWidth="1"/>
  </cols>
  <sheetData>
    <row r="1" spans="1:2" x14ac:dyDescent="0.3">
      <c r="A1" s="1" t="s">
        <v>73</v>
      </c>
    </row>
    <row r="2" spans="1:2" x14ac:dyDescent="0.3">
      <c r="B2" s="4" t="s">
        <v>74</v>
      </c>
    </row>
    <row r="3" spans="1:2" x14ac:dyDescent="0.3">
      <c r="B3" s="3">
        <f>Sales_Data!E2*Sales_Data!F2</f>
        <v>90000</v>
      </c>
    </row>
    <row r="4" spans="1:2" x14ac:dyDescent="0.3">
      <c r="B4" s="3">
        <f>Sales_Data!E3*Sales_Data!F3</f>
        <v>75000</v>
      </c>
    </row>
    <row r="5" spans="1:2" x14ac:dyDescent="0.3">
      <c r="B5" s="3">
        <f>Sales_Data!E4*Sales_Data!F4</f>
        <v>54000</v>
      </c>
    </row>
    <row r="6" spans="1:2" x14ac:dyDescent="0.3">
      <c r="B6" s="3">
        <f>Sales_Data!E5*Sales_Data!F5</f>
        <v>45000</v>
      </c>
    </row>
    <row r="7" spans="1:2" x14ac:dyDescent="0.3">
      <c r="B7" s="3">
        <f>Sales_Data!E6*Sales_Data!F6</f>
        <v>60000</v>
      </c>
    </row>
    <row r="8" spans="1:2" x14ac:dyDescent="0.3">
      <c r="B8" s="3">
        <f>Sales_Data!E7*Sales_Data!F7</f>
        <v>90000</v>
      </c>
    </row>
    <row r="10" spans="1:2" x14ac:dyDescent="0.3">
      <c r="A10" s="1" t="s">
        <v>75</v>
      </c>
    </row>
    <row r="11" spans="1:2" x14ac:dyDescent="0.3">
      <c r="B11" s="4" t="s">
        <v>76</v>
      </c>
    </row>
    <row r="12" spans="1:2" x14ac:dyDescent="0.3">
      <c r="A12" s="3" t="s">
        <v>13</v>
      </c>
      <c r="B12" s="3">
        <f>VLOOKUP(A12,Product_Master!A1:C4,3,0)</f>
        <v>18</v>
      </c>
    </row>
    <row r="15" spans="1:2" x14ac:dyDescent="0.3">
      <c r="A15" s="1" t="s">
        <v>77</v>
      </c>
    </row>
    <row r="16" spans="1:2" x14ac:dyDescent="0.3">
      <c r="B16" s="4" t="s">
        <v>80</v>
      </c>
    </row>
    <row r="17" spans="1:2" x14ac:dyDescent="0.3">
      <c r="B17" s="3">
        <f>Sales_Data!K2</f>
        <v>106200</v>
      </c>
    </row>
    <row r="18" spans="1:2" x14ac:dyDescent="0.3">
      <c r="B18" s="3">
        <f>Sales_Data!K3</f>
        <v>84000</v>
      </c>
    </row>
    <row r="19" spans="1:2" x14ac:dyDescent="0.3">
      <c r="B19" s="3">
        <f>Sales_Data!K4</f>
        <v>60480</v>
      </c>
    </row>
    <row r="20" spans="1:2" x14ac:dyDescent="0.3">
      <c r="B20" s="3">
        <f>Sales_Data!K5</f>
        <v>53100</v>
      </c>
    </row>
    <row r="21" spans="1:2" x14ac:dyDescent="0.3">
      <c r="B21" s="3">
        <f>Sales_Data!K6</f>
        <v>67200</v>
      </c>
    </row>
    <row r="22" spans="1:2" x14ac:dyDescent="0.3">
      <c r="B22" s="3">
        <f>Sales_Data!K7</f>
        <v>106200</v>
      </c>
    </row>
    <row r="25" spans="1:2" x14ac:dyDescent="0.3">
      <c r="A25" s="1" t="s">
        <v>81</v>
      </c>
    </row>
    <row r="26" spans="1:2" x14ac:dyDescent="0.3">
      <c r="B26" s="4" t="s">
        <v>83</v>
      </c>
    </row>
    <row r="27" spans="1:2" x14ac:dyDescent="0.3">
      <c r="B27" s="3">
        <f xml:space="preserve"> SUM(B17:B22)</f>
        <v>477180</v>
      </c>
    </row>
    <row r="30" spans="1:2" x14ac:dyDescent="0.3">
      <c r="A30" s="1" t="s">
        <v>84</v>
      </c>
    </row>
    <row r="31" spans="1:2" x14ac:dyDescent="0.3">
      <c r="B31" s="3">
        <f xml:space="preserve"> COUNTA(Sales_Data!A2:A7)</f>
        <v>6</v>
      </c>
    </row>
    <row r="34" spans="1:3" x14ac:dyDescent="0.3">
      <c r="A34" s="1" t="s">
        <v>85</v>
      </c>
    </row>
    <row r="35" spans="1:3" x14ac:dyDescent="0.3">
      <c r="B35" t="s">
        <v>5</v>
      </c>
      <c r="C35" t="s">
        <v>74</v>
      </c>
    </row>
    <row r="36" spans="1:3" x14ac:dyDescent="0.3">
      <c r="B36" t="s">
        <v>11</v>
      </c>
    </row>
    <row r="37" spans="1:3" x14ac:dyDescent="0.3">
      <c r="B37" t="s">
        <v>15</v>
      </c>
    </row>
    <row r="38" spans="1:3" x14ac:dyDescent="0.3">
      <c r="B38" t="s">
        <v>19</v>
      </c>
    </row>
    <row r="39" spans="1:3" x14ac:dyDescent="0.3">
      <c r="B3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Sales_Data</vt:lpstr>
      <vt:lpstr>Product_Master</vt:lpstr>
      <vt:lpstr>Student_Marks</vt:lpstr>
      <vt:lpstr>Questions</vt:lpstr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Devanshu Jadav</cp:lastModifiedBy>
  <dcterms:created xsi:type="dcterms:W3CDTF">2025-12-20T09:26:06Z</dcterms:created>
  <dcterms:modified xsi:type="dcterms:W3CDTF">2026-07-07T09:27:19Z</dcterms:modified>
</cp:coreProperties>
</file>