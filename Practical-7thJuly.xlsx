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Devanshu\Desktop\Python\jupyter projects\EXCEL\"/>
    </mc:Choice>
  </mc:AlternateContent>
  <xr:revisionPtr revIDLastSave="0" documentId="13_ncr:1_{B9F16800-26EE-4C56-96F0-1011CF3753F9}" xr6:coauthVersionLast="47" xr6:coauthVersionMax="47" xr10:uidLastSave="{00000000-0000-0000-0000-000000000000}"/>
  <bookViews>
    <workbookView xWindow="-108" yWindow="-108" windowWidth="23256" windowHeight="12456" tabRatio="500" firstSheet="1" activeTab="5" xr2:uid="{00000000-000D-0000-FFFF-FFFF00000000}"/>
  </bookViews>
  <sheets>
    <sheet name="Instructions" sheetId="1" r:id="rId1"/>
    <sheet name="Sales_Data" sheetId="2" r:id="rId2"/>
    <sheet name="Product_Master" sheetId="3" r:id="rId3"/>
    <sheet name="Student_Marks" sheetId="4" r:id="rId4"/>
    <sheet name="Questions" sheetId="5" r:id="rId5"/>
    <sheet name="Answers" sheetId="6" r:id="rId6"/>
  </sheets>
  <definedNames>
    <definedName name="_xlnm._FilterDatabase" localSheetId="1" hidden="1">Sales_Data!$A$1:$M$8</definedName>
  </definedNames>
  <calcPr calcId="191029"/>
  <pivotCaches>
    <pivotCache cacheId="0" r:id="rId7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C108" i="6" l="1"/>
  <c r="B251" i="6"/>
  <c r="D246" i="6"/>
  <c r="C246" i="6"/>
  <c r="B246" i="6"/>
  <c r="D245" i="6"/>
  <c r="C245" i="6"/>
  <c r="B245" i="6"/>
  <c r="D244" i="6"/>
  <c r="C244" i="6"/>
  <c r="B244" i="6"/>
  <c r="D243" i="6"/>
  <c r="C243" i="6"/>
  <c r="B243" i="6"/>
  <c r="D242" i="6"/>
  <c r="C242" i="6"/>
  <c r="B242" i="6"/>
  <c r="D241" i="6"/>
  <c r="C241" i="6"/>
  <c r="B241" i="6"/>
  <c r="B236" i="6"/>
  <c r="D231" i="6"/>
  <c r="C231" i="6"/>
  <c r="B231" i="6"/>
  <c r="D230" i="6"/>
  <c r="C230" i="6"/>
  <c r="B230" i="6"/>
  <c r="B224" i="6"/>
  <c r="B223" i="6"/>
  <c r="B222" i="6"/>
  <c r="B221" i="6"/>
  <c r="B220" i="6"/>
  <c r="B219" i="6"/>
  <c r="C213" i="6"/>
  <c r="B213" i="6"/>
  <c r="C212" i="6"/>
  <c r="B212" i="6"/>
  <c r="C211" i="6"/>
  <c r="B211" i="6"/>
  <c r="C210" i="6"/>
  <c r="B210" i="6"/>
  <c r="C209" i="6"/>
  <c r="B209" i="6"/>
  <c r="C208" i="6"/>
  <c r="B208" i="6"/>
  <c r="B203" i="6"/>
  <c r="B202" i="6"/>
  <c r="B201" i="6"/>
  <c r="B200" i="6"/>
  <c r="B199" i="6"/>
  <c r="B194" i="6"/>
  <c r="B189" i="6"/>
  <c r="C168" i="6"/>
  <c r="B168" i="6"/>
  <c r="C167" i="6"/>
  <c r="B167" i="6"/>
  <c r="C166" i="6"/>
  <c r="B166" i="6"/>
  <c r="C165" i="6"/>
  <c r="B165" i="6"/>
  <c r="C164" i="6"/>
  <c r="B164" i="6"/>
  <c r="E122" i="6"/>
  <c r="D122" i="6"/>
  <c r="C122" i="6"/>
  <c r="B122" i="6"/>
  <c r="E121" i="6"/>
  <c r="D121" i="6"/>
  <c r="C121" i="6"/>
  <c r="B121" i="6"/>
  <c r="E120" i="6"/>
  <c r="D120" i="6"/>
  <c r="C120" i="6"/>
  <c r="B120" i="6"/>
  <c r="E119" i="6"/>
  <c r="D119" i="6"/>
  <c r="C119" i="6"/>
  <c r="B119" i="6"/>
  <c r="E118" i="6"/>
  <c r="D118" i="6"/>
  <c r="C118" i="6"/>
  <c r="B118" i="6"/>
  <c r="B113" i="6"/>
  <c r="C103" i="6"/>
  <c r="B103" i="6"/>
  <c r="C102" i="6"/>
  <c r="B102" i="6"/>
  <c r="C101" i="6"/>
  <c r="B101" i="6"/>
  <c r="C100" i="6"/>
  <c r="B100" i="6"/>
  <c r="C99" i="6"/>
  <c r="B99" i="6"/>
  <c r="C94" i="6"/>
  <c r="B94" i="6"/>
  <c r="C93" i="6"/>
  <c r="B93" i="6"/>
  <c r="C92" i="6"/>
  <c r="B92" i="6"/>
  <c r="C91" i="6"/>
  <c r="B91" i="6"/>
  <c r="C90" i="6"/>
  <c r="B90" i="6"/>
  <c r="C89" i="6"/>
  <c r="B89" i="6"/>
  <c r="D73" i="6"/>
  <c r="C73" i="6"/>
  <c r="B73" i="6"/>
  <c r="D72" i="6"/>
  <c r="C72" i="6"/>
  <c r="B72" i="6"/>
  <c r="D71" i="6"/>
  <c r="C71" i="6"/>
  <c r="B71" i="6"/>
  <c r="D70" i="6"/>
  <c r="C70" i="6"/>
  <c r="B70" i="6"/>
  <c r="D69" i="6"/>
  <c r="C69" i="6"/>
  <c r="B69" i="6"/>
  <c r="D68" i="6"/>
  <c r="C68" i="6"/>
  <c r="B68" i="6"/>
  <c r="C58" i="6"/>
  <c r="B58" i="6"/>
  <c r="C57" i="6"/>
  <c r="B57" i="6"/>
  <c r="C56" i="6"/>
  <c r="B56" i="6"/>
  <c r="C55" i="6"/>
  <c r="B55" i="6"/>
  <c r="C54" i="6"/>
  <c r="B54" i="6"/>
  <c r="C53" i="6"/>
  <c r="B53" i="6"/>
  <c r="B40" i="6"/>
  <c r="B30" i="6"/>
  <c r="B29" i="6"/>
  <c r="B28" i="6"/>
  <c r="B27" i="6"/>
  <c r="B26" i="6"/>
  <c r="B25" i="6"/>
  <c r="D20" i="6"/>
  <c r="C20" i="6"/>
  <c r="B20" i="6"/>
  <c r="D19" i="6"/>
  <c r="C19" i="6"/>
  <c r="B19" i="6"/>
  <c r="D18" i="6"/>
  <c r="C18" i="6"/>
  <c r="B18" i="6"/>
  <c r="D17" i="6"/>
  <c r="C17" i="6"/>
  <c r="B17" i="6"/>
  <c r="D16" i="6"/>
  <c r="C16" i="6"/>
  <c r="B16" i="6"/>
  <c r="D15" i="6"/>
  <c r="C15" i="6"/>
  <c r="B15" i="6"/>
  <c r="C10" i="6"/>
  <c r="B10" i="6"/>
  <c r="C9" i="6"/>
  <c r="B9" i="6"/>
  <c r="C8" i="6"/>
  <c r="B8" i="6"/>
  <c r="C7" i="6"/>
  <c r="B7" i="6"/>
  <c r="C6" i="6"/>
  <c r="B6" i="6"/>
  <c r="C5" i="6"/>
  <c r="B5" i="6"/>
  <c r="J32" i="5"/>
  <c r="M7" i="2"/>
  <c r="L7" i="2"/>
  <c r="D58" i="6" s="1"/>
  <c r="J7" i="2"/>
  <c r="I7" i="2"/>
  <c r="M6" i="2"/>
  <c r="L6" i="2"/>
  <c r="D57" i="6" s="1"/>
  <c r="J6" i="2"/>
  <c r="I6" i="2"/>
  <c r="M5" i="2"/>
  <c r="L5" i="2"/>
  <c r="D56" i="6" s="1"/>
  <c r="K5" i="2"/>
  <c r="J5" i="2"/>
  <c r="I5" i="2"/>
  <c r="M4" i="2"/>
  <c r="L4" i="2"/>
  <c r="D55" i="6" s="1"/>
  <c r="J4" i="2"/>
  <c r="I4" i="2"/>
  <c r="M3" i="2"/>
  <c r="L3" i="2"/>
  <c r="D54" i="6" s="1"/>
  <c r="J3" i="2"/>
  <c r="I3" i="2"/>
  <c r="M2" i="2"/>
  <c r="L2" i="2"/>
  <c r="D53" i="6" s="1"/>
  <c r="J2" i="2"/>
  <c r="I2" i="2"/>
  <c r="F8" i="4"/>
  <c r="H6" i="4"/>
  <c r="G6" i="4"/>
  <c r="D103" i="6" s="1"/>
  <c r="H5" i="4"/>
  <c r="G5" i="4"/>
  <c r="D102" i="6" s="1"/>
  <c r="H4" i="4"/>
  <c r="G4" i="4"/>
  <c r="D101" i="6" s="1"/>
  <c r="H3" i="4"/>
  <c r="G3" i="4"/>
  <c r="D100" i="6" s="1"/>
  <c r="H2" i="4"/>
  <c r="G2" i="4"/>
  <c r="C48" i="6" l="1"/>
  <c r="K7" i="2"/>
  <c r="C47" i="6"/>
  <c r="K6" i="2"/>
  <c r="C81" i="6"/>
  <c r="C28" i="6"/>
  <c r="D222" i="6"/>
  <c r="C222" i="6"/>
  <c r="K4" i="2"/>
  <c r="K3" i="2"/>
  <c r="C45" i="6"/>
  <c r="K2" i="2"/>
  <c r="C46" i="6"/>
  <c r="B108" i="6"/>
  <c r="D99" i="6"/>
  <c r="C30" i="6" l="1"/>
  <c r="C224" i="6"/>
  <c r="D224" i="6"/>
  <c r="C83" i="6"/>
  <c r="C82" i="6"/>
  <c r="C223" i="6"/>
  <c r="D223" i="6"/>
  <c r="C29" i="6"/>
  <c r="C27" i="6"/>
  <c r="C221" i="6"/>
  <c r="D221" i="6"/>
  <c r="C80" i="6"/>
  <c r="C220" i="6"/>
  <c r="D220" i="6"/>
  <c r="C26" i="6"/>
  <c r="C79" i="6"/>
  <c r="C219" i="6"/>
  <c r="D219" i="6"/>
  <c r="K8" i="2"/>
  <c r="B63" i="6"/>
  <c r="C78" i="6"/>
  <c r="L12" i="2"/>
  <c r="L11" i="2"/>
  <c r="C25" i="6"/>
  <c r="B35" i="6"/>
  <c r="C63" i="6"/>
</calcChain>
</file>

<file path=xl/sharedStrings.xml><?xml version="1.0" encoding="utf-8"?>
<sst xmlns="http://schemas.openxmlformats.org/spreadsheetml/2006/main" count="196" uniqueCount="137">
  <si>
    <t>MS Excel Practical Exam</t>
  </si>
  <si>
    <t>Total Questions: 30</t>
  </si>
  <si>
    <t>Difficulty Level: Medium</t>
  </si>
  <si>
    <t>Syllabus: Formulas, Logical Functions, Lookups, INDEX-MATCH, Pivot Tables &amp; Charts, Data Analysis</t>
  </si>
  <si>
    <t>Attempt all questions using appropriate Excel tools/functions.</t>
  </si>
  <si>
    <t>Order_ID</t>
  </si>
  <si>
    <t>Region</t>
  </si>
  <si>
    <t>Salesperson</t>
  </si>
  <si>
    <t>Product</t>
  </si>
  <si>
    <t>Quantity</t>
  </si>
  <si>
    <t>Unit_Price</t>
  </si>
  <si>
    <t>Sales_Date</t>
  </si>
  <si>
    <t>Total Sales</t>
  </si>
  <si>
    <t>GST</t>
  </si>
  <si>
    <t>Final Amount Payable</t>
  </si>
  <si>
    <t>IF Classification For Qantity High/Low</t>
  </si>
  <si>
    <t>Month Name</t>
  </si>
  <si>
    <t>South</t>
  </si>
  <si>
    <t>Riya</t>
  </si>
  <si>
    <t>Laptop</t>
  </si>
  <si>
    <t>North</t>
  </si>
  <si>
    <t>Amit</t>
  </si>
  <si>
    <t>Mobile</t>
  </si>
  <si>
    <t>East</t>
  </si>
  <si>
    <t>Kunal</t>
  </si>
  <si>
    <t>Tablet</t>
  </si>
  <si>
    <t>West</t>
  </si>
  <si>
    <t>Neha</t>
  </si>
  <si>
    <t>Grand Total :</t>
  </si>
  <si>
    <t>Max Final Amount</t>
  </si>
  <si>
    <t>Min Final Amount</t>
  </si>
  <si>
    <t>Category</t>
  </si>
  <si>
    <t>GST_%</t>
  </si>
  <si>
    <t>Electronics</t>
  </si>
  <si>
    <t>Student_ID</t>
  </si>
  <si>
    <t>Name</t>
  </si>
  <si>
    <t>Maths</t>
  </si>
  <si>
    <t>Statistics</t>
  </si>
  <si>
    <t>Excel</t>
  </si>
  <si>
    <t>Attendance_%</t>
  </si>
  <si>
    <t>Average Marks</t>
  </si>
  <si>
    <t>Attendance &gt;90</t>
  </si>
  <si>
    <t>Rahul</t>
  </si>
  <si>
    <t>Sneha</t>
  </si>
  <si>
    <t>Arjun</t>
  </si>
  <si>
    <t>Pooja</t>
  </si>
  <si>
    <t>Vikas</t>
  </si>
  <si>
    <t>1. Calculate Total Sales for each order (Quantity × Unit_Price).</t>
  </si>
  <si>
    <t>2. Calculate GST Amount using VLOOKUP from Product_Master.</t>
  </si>
  <si>
    <t>3. Find Final Amount payable (Total Sales + GST).</t>
  </si>
  <si>
    <t>4. Find Grand Total of Final Amount.</t>
  </si>
  <si>
    <t>5. Count total number of orders using COUNTA.</t>
  </si>
  <si>
    <t>6. Find Region-wise total sales using SUMIF.</t>
  </si>
  <si>
    <t>7. Use IF to classify Quantity as High (&gt;3) or Low (&lt;=3).</t>
  </si>
  <si>
    <t>8. Find the maximum and minimum Final Amount.</t>
  </si>
  <si>
    <t>9. Extract month name from Sales_Date.</t>
  </si>
  <si>
    <t>10. Sort Sales_Data by Final Amount (Descending).</t>
  </si>
  <si>
    <t>11. Use INDEX-MATCH to fetch Product Category.</t>
  </si>
  <si>
    <t>12. Calculate average marks of each student.</t>
  </si>
  <si>
    <t>13. Find the topper based on average marks.</t>
  </si>
  <si>
    <t>14. Count students with Attendance above 90%.</t>
  </si>
  <si>
    <t>15. Use IF to classify students as Eligible (Attendance &gt;= 85%).</t>
  </si>
  <si>
    <t>16. Create a Pivot Table showing Product-wise Total Sales.</t>
  </si>
  <si>
    <t>17. Create a Pivot Table showing Region-wise Total Sales.</t>
  </si>
  <si>
    <t>18. Insert a Pivot Chart for Product-wise Sales.</t>
  </si>
  <si>
    <t>19. Create a Bar Chart for Student Excel marks.</t>
  </si>
  <si>
    <t>20. Find Median of Statistics marks.</t>
  </si>
  <si>
    <t>21. Find Standard Deviation of Excel marks.</t>
  </si>
  <si>
    <t>22. Use CONCAT to combine Student_ID and Name.</t>
  </si>
  <si>
    <t>23. Use LEFT function to extract first 2 letters of Salesperson name.</t>
  </si>
  <si>
    <t>24. Apply Conditional Formatting to highlight Final Amount &gt; 60000.</t>
  </si>
  <si>
    <t>25. Filter orders where Product is Laptop and Quantity &gt; 1.</t>
  </si>
  <si>
    <t>26. Use COUNTIFS to count Laptop orders in North region.</t>
  </si>
  <si>
    <t>27. Use ROUND to round Unit_Price to nearest thousand.</t>
  </si>
  <si>
    <t>28. Remove duplicate records if present.</t>
  </si>
  <si>
    <t>29. Freeze top row in Sales_Data sheet.</t>
  </si>
  <si>
    <t>30. Protect the Student_Marks sheet.</t>
  </si>
  <si>
    <t>MS Excel Practical Exam - Answer Sheet</t>
  </si>
  <si>
    <t>Ans-1: Total Sales for each order (Quantity x Unit_Price)</t>
  </si>
  <si>
    <t>Ans-2: GST Amount using VLOOKUP from Product_Master</t>
  </si>
  <si>
    <t>GST %</t>
  </si>
  <si>
    <t>Ans-3: Final Amount Payable (Total Sales + GST)</t>
  </si>
  <si>
    <t>Ans-4: Grand Total of Final Amount</t>
  </si>
  <si>
    <t>Grand Total</t>
  </si>
  <si>
    <t>Ans-5: Count of total orders (COUNTA)</t>
  </si>
  <si>
    <t>Total Orders</t>
  </si>
  <si>
    <t>Ans-6: Region-wise Total Sales (SUMIF)</t>
  </si>
  <si>
    <t>Ans-7: IF Classification of Quantity (High &gt;3, Low &lt;=3)</t>
  </si>
  <si>
    <t>Classification</t>
  </si>
  <si>
    <t>Ans-8: Maximum and Minimum Final Amount</t>
  </si>
  <si>
    <t>Ans-9: Month Name extracted from Sales_Date</t>
  </si>
  <si>
    <t>Sales Date</t>
  </si>
  <si>
    <t>Ans-10: Sort Sales_Data by Final Amount (Descending)</t>
  </si>
  <si>
    <t>Final Amount (sorted desc)</t>
  </si>
  <si>
    <t>Note: Sales_Data sheet itself has been sorted; table above mirrors the sorted order.</t>
  </si>
  <si>
    <t>Ans-11: Product Category using INDEX-MATCH</t>
  </si>
  <si>
    <t>Product Category</t>
  </si>
  <si>
    <t>Ans-12: Average Marks of each student</t>
  </si>
  <si>
    <t>Ans-13: Topper based on Average Marks</t>
  </si>
  <si>
    <t>Highest Average</t>
  </si>
  <si>
    <t>Topper Name</t>
  </si>
  <si>
    <t>Ans-14: Count of students with Attendance above 90%</t>
  </si>
  <si>
    <t>Count</t>
  </si>
  <si>
    <t>Ans-15: Eligibility Classification (Attendance &gt;= 85%)</t>
  </si>
  <si>
    <t>Attendance %</t>
  </si>
  <si>
    <t>Eligibility</t>
  </si>
  <si>
    <t>Ans-16: Pivot Table - Product-wise Total Sales</t>
  </si>
  <si>
    <t>Ans-17: Pivot Table - Region-wise Total Sales</t>
  </si>
  <si>
    <t>Ans-18: Pivot Chart for Product-wise Sales</t>
  </si>
  <si>
    <t>Ans-19: Bar Chart for Student Excel marks</t>
  </si>
  <si>
    <t>Excel Marks</t>
  </si>
  <si>
    <t>Ans-20: Median of Statistics marks</t>
  </si>
  <si>
    <t>Median</t>
  </si>
  <si>
    <t>Ans-21: Standard Deviation of Excel marks</t>
  </si>
  <si>
    <t>Std Dev (Sample)</t>
  </si>
  <si>
    <t>Ans-22: CONCAT Student_ID and Name</t>
  </si>
  <si>
    <t>Combined</t>
  </si>
  <si>
    <t>Ans-23: LEFT - first 2 letters of Salesperson name</t>
  </si>
  <si>
    <t>First 2 Letters</t>
  </si>
  <si>
    <t>Ans-24: Conditional Formatting - highlight Final Amount &gt; 60000</t>
  </si>
  <si>
    <t>Applied directly on Sales_Data!K2:K7 (Final Amount Payable column) - green fill for values &gt; 60000.</t>
  </si>
  <si>
    <t>Final Amount</t>
  </si>
  <si>
    <t>Above 60000?</t>
  </si>
  <si>
    <t>Ans-25: Filter - Product = Laptop and Quantity &gt; 1</t>
  </si>
  <si>
    <t>AutoFilter applied on Sales_Data (Product=Laptop, Quantity&gt;1). Matching rows:</t>
  </si>
  <si>
    <t>Ans-26: COUNTIFS - Laptop orders in North region</t>
  </si>
  <si>
    <t>Ans-27: ROUND Unit_Price to nearest thousand</t>
  </si>
  <si>
    <t>Rounded (nearest 1000)</t>
  </si>
  <si>
    <t>Ans-28: Remove duplicate records if present</t>
  </si>
  <si>
    <t>Duplicate Order_IDs Found</t>
  </si>
  <si>
    <t>Ans-29: Freeze top row in Sales_Data sheet</t>
  </si>
  <si>
    <t>Done. Freeze Panes applied to Sales_Data!A2 (View &gt; Freeze Panes &gt; Freeze Top Row).</t>
  </si>
  <si>
    <t>Ans-30: Protect the Student_Marks sheet</t>
  </si>
  <si>
    <t>Done. Sheet protection enabled on Student_Marks (Review &gt; Protect Sheet), no password set.</t>
  </si>
  <si>
    <t>Row Labels</t>
  </si>
  <si>
    <t>Sum of Total Sales</t>
  </si>
  <si>
    <t>0 duplicates found no records needed to be removed (all 6 Order_IDs are unique).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</si>
</sst>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"/>
  </numFmts>
  <fonts count="6" x14ac:knownFonts="1">
    <font>
      <sz val="11"/>
      <color theme="1"/>
      <name val="Calibri"/>
      <family val="2"/>
      <charset val="1"/>
    </font>
    <font>
      <sz val="11"/>
      <color theme="1"/>
      <name val="Calibri"/>
      <family val="2"/>
      <scheme val="minor"/>
    </font>
    <font>
      <b/>
      <sz val="13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9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right"/>
    </xf>
    <xf numFmtId="164" fontId="0" fillId="0" borderId="0" xfId="0" applyNumberFormat="1"/>
    <xf numFmtId="0" fontId="2" fillId="0" borderId="0" xfId="0" applyFont="1"/>
    <xf numFmtId="0" fontId="1" fillId="0" borderId="0" xfId="0" applyFont="1"/>
    <xf numFmtId="0" fontId="3" fillId="0" borderId="0" xfId="0" applyFont="1"/>
    <xf numFmtId="164" fontId="1" fillId="0" borderId="0" xfId="0" applyNumberFormat="1" applyFont="1"/>
    <xf numFmtId="0" fontId="4" fillId="0" borderId="0" xfId="0" applyFont="1"/>
    <xf numFmtId="0" fontId="5" fillId="0" borderId="0" xfId="0" applyFont="1"/>
    <xf numFmtId="0" fontId="0" fillId="0" borderId="0" xfId="0" pivotButton="1"/>
    <xf numFmtId="0" fontId="0" fillId="0" borderId="0" xfId="0" applyAlignment="1">
      <alignment horizontal="left"/>
    </xf>
  </cellXfs>
  <cellStyles count="1">
    <cellStyle name="Normal" xfId="0" builtinId="0"/>
  </cellStyles>
  <dxfs count="1">
    <dxf>
      <fill>
        <patternFill>
          <bgColor rgb="FFC6EF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3B3B3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4F81BD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GB" sz="1800" b="1" strike="noStrike" spc="-1">
                <a:solidFill>
                  <a:srgbClr val="000000"/>
                </a:solidFill>
                <a:latin typeface="Calibri"/>
              </a:rPr>
              <a:t>Student Excel Marks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Answers!$C$163</c:f>
              <c:strCache>
                <c:ptCount val="1"/>
                <c:pt idx="0">
                  <c:v>Excel Marks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Answers!$B$164:$B$168</c:f>
              <c:strCache>
                <c:ptCount val="5"/>
                <c:pt idx="0">
                  <c:v>Rahul</c:v>
                </c:pt>
                <c:pt idx="1">
                  <c:v>Sneha</c:v>
                </c:pt>
                <c:pt idx="2">
                  <c:v>Arjun</c:v>
                </c:pt>
                <c:pt idx="3">
                  <c:v>Pooja</c:v>
                </c:pt>
                <c:pt idx="4">
                  <c:v>Vikas</c:v>
                </c:pt>
              </c:strCache>
            </c:strRef>
          </c:cat>
          <c:val>
            <c:numRef>
              <c:f>Answers!$C$164:$C$168</c:f>
              <c:numCache>
                <c:formatCode>General</c:formatCode>
                <c:ptCount val="5"/>
                <c:pt idx="0">
                  <c:v>85</c:v>
                </c:pt>
                <c:pt idx="1">
                  <c:v>90</c:v>
                </c:pt>
                <c:pt idx="2">
                  <c:v>72</c:v>
                </c:pt>
                <c:pt idx="3">
                  <c:v>94</c:v>
                </c:pt>
                <c:pt idx="4">
                  <c:v>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389-40C4-A1A1-05C698AD29A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9022897"/>
        <c:axId val="71732965"/>
      </c:barChart>
      <c:catAx>
        <c:axId val="49022897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GB" sz="1000" b="1" strike="noStrike" spc="-1">
                    <a:solidFill>
                      <a:srgbClr val="000000"/>
                    </a:solidFill>
                    <a:latin typeface="Calibri"/>
                  </a:rPr>
                  <a:t>Student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71732965"/>
        <c:crosses val="autoZero"/>
        <c:auto val="1"/>
        <c:lblAlgn val="ctr"/>
        <c:lblOffset val="100"/>
        <c:noMultiLvlLbl val="0"/>
      </c:catAx>
      <c:valAx>
        <c:axId val="71732965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GB" sz="1000" b="1" strike="noStrike" spc="-1">
                    <a:solidFill>
                      <a:srgbClr val="000000"/>
                    </a:solidFill>
                    <a:latin typeface="Calibri"/>
                  </a:rPr>
                  <a:t>Excel Marks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49022897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[Practical-7thJuly.xlsx]Answers!PivotTable1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Answers!$C$126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Answers!$B$127:$B$130</c:f>
              <c:strCache>
                <c:ptCount val="3"/>
                <c:pt idx="0">
                  <c:v>Laptop</c:v>
                </c:pt>
                <c:pt idx="1">
                  <c:v>Mobile</c:v>
                </c:pt>
                <c:pt idx="2">
                  <c:v>Tablet</c:v>
                </c:pt>
              </c:strCache>
            </c:strRef>
          </c:cat>
          <c:val>
            <c:numRef>
              <c:f>Answers!$C$127:$C$130</c:f>
              <c:numCache>
                <c:formatCode>General</c:formatCode>
                <c:ptCount val="3"/>
                <c:pt idx="0">
                  <c:v>225000</c:v>
                </c:pt>
                <c:pt idx="1">
                  <c:v>135000</c:v>
                </c:pt>
                <c:pt idx="2">
                  <c:v>54000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90F-4AA1-B87C-B0C6E0BDA4B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4287679"/>
        <c:axId val="18633871"/>
      </c:barChart>
      <c:catAx>
        <c:axId val="1142876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633871"/>
        <c:crosses val="autoZero"/>
        <c:auto val="1"/>
        <c:lblAlgn val="ctr"/>
        <c:lblOffset val="100"/>
        <c:noMultiLvlLbl val="0"/>
      </c:catAx>
      <c:valAx>
        <c:axId val="186338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28767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167</xdr:row>
      <xdr:rowOff>176040</xdr:rowOff>
    </xdr:from>
    <xdr:to>
      <xdr:col>4</xdr:col>
      <xdr:colOff>42120</xdr:colOff>
      <xdr:row>182</xdr:row>
      <xdr:rowOff>17280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670560</xdr:colOff>
      <xdr:row>142</xdr:row>
      <xdr:rowOff>171450</xdr:rowOff>
    </xdr:from>
    <xdr:to>
      <xdr:col>3</xdr:col>
      <xdr:colOff>441960</xdr:colOff>
      <xdr:row>157</xdr:row>
      <xdr:rowOff>171450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C4978B6D-AACB-27A3-FF1E-97E9C36C260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evanshu" refreshedDate="46210.994855208337" createdVersion="8" refreshedVersion="8" minRefreshableVersion="3" recordCount="6" xr:uid="{0E300BDA-72D5-467A-94CE-AE3C371F30B5}">
  <cacheSource type="worksheet">
    <worksheetSource ref="A1:M7" sheet="Sales_Data"/>
  </cacheSource>
  <cacheFields count="13">
    <cacheField name="Order_ID" numFmtId="0">
      <sharedItems containsSemiMixedTypes="0" containsString="0" containsNumber="1" containsInteger="1" minValue="301" maxValue="306"/>
    </cacheField>
    <cacheField name="Region" numFmtId="0">
      <sharedItems count="4">
        <s v="South"/>
        <s v="North"/>
        <s v="East"/>
        <s v="West"/>
      </sharedItems>
    </cacheField>
    <cacheField name="Salesperson" numFmtId="0">
      <sharedItems/>
    </cacheField>
    <cacheField name="Product" numFmtId="0">
      <sharedItems count="3">
        <s v="Laptop"/>
        <s v="Mobile"/>
        <s v="Tablet"/>
      </sharedItems>
    </cacheField>
    <cacheField name="Quantity" numFmtId="0">
      <sharedItems containsSemiMixedTypes="0" containsString="0" containsNumber="1" containsInteger="1" minValue="1" maxValue="5"/>
    </cacheField>
    <cacheField name="Unit_Price" numFmtId="0">
      <sharedItems containsSemiMixedTypes="0" containsString="0" containsNumber="1" containsInteger="1" minValue="15000" maxValue="45000"/>
    </cacheField>
    <cacheField name="Sales_Date" numFmtId="164">
      <sharedItems containsSemiMixedTypes="0" containsNonDate="0" containsDate="1" containsString="0" minDate="2025-01-05T00:00:00" maxDate="2025-01-19T00:00:00"/>
    </cacheField>
    <cacheField name="Field8" caption="Field8" numFmtId="0">
      <sharedItems containsNonDate="0" containsString="0" containsBlank="1"/>
    </cacheField>
    <cacheField name="Total Sales" numFmtId="0">
      <sharedItems containsSemiMixedTypes="0" containsString="0" containsNumber="1" containsInteger="1" minValue="45000" maxValue="90000"/>
    </cacheField>
    <cacheField name="GST" numFmtId="0">
      <sharedItems containsSemiMixedTypes="0" containsString="0" containsNumber="1" containsInteger="1" minValue="12" maxValue="18"/>
    </cacheField>
    <cacheField name="Final Amount Payable" numFmtId="0">
      <sharedItems containsSemiMixedTypes="0" containsString="0" containsNumber="1" containsInteger="1" minValue="53100" maxValue="106200"/>
    </cacheField>
    <cacheField name="IF Classification For Qantity High/Low" numFmtId="0">
      <sharedItems/>
    </cacheField>
    <cacheField name="Month Name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">
  <r>
    <n v="306"/>
    <x v="0"/>
    <s v="Riya"/>
    <x v="0"/>
    <n v="2"/>
    <n v="45000"/>
    <d v="2025-01-18T00:00:00"/>
    <m/>
    <n v="90000"/>
    <n v="18"/>
    <n v="106200"/>
    <s v="Low"/>
    <s v="January"/>
  </r>
  <r>
    <n v="301"/>
    <x v="1"/>
    <s v="Amit"/>
    <x v="0"/>
    <n v="2"/>
    <n v="45000"/>
    <d v="2025-01-05T00:00:00"/>
    <m/>
    <n v="90000"/>
    <n v="18"/>
    <n v="106200"/>
    <s v="Low"/>
    <s v="January"/>
  </r>
  <r>
    <n v="302"/>
    <x v="0"/>
    <s v="Riya"/>
    <x v="1"/>
    <n v="5"/>
    <n v="15000"/>
    <d v="2025-01-07T00:00:00"/>
    <m/>
    <n v="75000"/>
    <n v="12"/>
    <n v="84000"/>
    <s v="High"/>
    <s v="January"/>
  </r>
  <r>
    <n v="305"/>
    <x v="1"/>
    <s v="Amit"/>
    <x v="1"/>
    <n v="4"/>
    <n v="15000"/>
    <d v="2025-01-15T00:00:00"/>
    <m/>
    <n v="60000"/>
    <n v="12"/>
    <n v="67200"/>
    <s v="High"/>
    <s v="January"/>
  </r>
  <r>
    <n v="303"/>
    <x v="2"/>
    <s v="Kunal"/>
    <x v="2"/>
    <n v="3"/>
    <n v="18000"/>
    <d v="2025-01-10T00:00:00"/>
    <m/>
    <n v="54000"/>
    <n v="12"/>
    <n v="60480"/>
    <s v="Low"/>
    <s v="January"/>
  </r>
  <r>
    <n v="304"/>
    <x v="3"/>
    <s v="Neha"/>
    <x v="0"/>
    <n v="1"/>
    <n v="45000"/>
    <d v="2025-01-12T00:00:00"/>
    <m/>
    <n v="45000"/>
    <n v="18"/>
    <n v="53100"/>
    <s v="Low"/>
    <s v="January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3DC8A72-0E7F-47CB-9C7B-B2BC386EE17A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B126:C130" firstHeaderRow="1" firstDataRow="1" firstDataCol="1"/>
  <pivotFields count="13"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numFmtId="164" showAll="0"/>
    <pivotField showAll="0"/>
    <pivotField dataField="1" showAll="0"/>
    <pivotField showAll="0"/>
    <pivotField showAll="0"/>
    <pivotField showAll="0"/>
    <pivotField showAll="0"/>
  </pivotFields>
  <rowFields count="1">
    <field x="3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Total Sales" fld="8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D2F5BCE-E520-4403-B47F-CB1834F35806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134:C139" firstHeaderRow="1" firstDataRow="1" firstDataCol="1"/>
  <pivotFields count="13">
    <pivotField showAll="0"/>
    <pivotField axis="axisRow" showAll="0">
      <items count="5">
        <item x="2"/>
        <item x="1"/>
        <item x="0"/>
        <item x="3"/>
        <item t="default"/>
      </items>
    </pivotField>
    <pivotField showAll="0"/>
    <pivotField showAll="0"/>
    <pivotField showAll="0"/>
    <pivotField showAll="0"/>
    <pivotField numFmtId="164" showAll="0"/>
    <pivotField showAll="0"/>
    <pivotField dataField="1" showAll="0"/>
    <pivotField showAll="0"/>
    <pivotField showAll="0"/>
    <pivotField showAll="0"/>
    <pivotField showAll="0"/>
  </pivotFields>
  <rowFields count="1">
    <field x="1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Total Sales" fld="8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5"/>
  <sheetViews>
    <sheetView zoomScaleNormal="100" workbookViewId="0">
      <selection activeCell="E4" sqref="E4"/>
    </sheetView>
  </sheetViews>
  <sheetFormatPr defaultColWidth="8.6640625" defaultRowHeight="14.4" x14ac:dyDescent="0.3"/>
  <sheetData>
    <row r="1" spans="1:1" ht="14.25" customHeight="1" x14ac:dyDescent="0.3">
      <c r="A1" t="s">
        <v>0</v>
      </c>
    </row>
    <row r="2" spans="1:1" ht="14.25" customHeight="1" x14ac:dyDescent="0.3">
      <c r="A2" t="s">
        <v>1</v>
      </c>
    </row>
    <row r="3" spans="1:1" ht="14.25" customHeight="1" x14ac:dyDescent="0.3">
      <c r="A3" t="s">
        <v>2</v>
      </c>
    </row>
    <row r="4" spans="1:1" ht="14.25" customHeight="1" x14ac:dyDescent="0.3">
      <c r="A4" t="s">
        <v>3</v>
      </c>
    </row>
    <row r="5" spans="1:1" ht="14.25" customHeight="1" x14ac:dyDescent="0.3">
      <c r="A5" t="s">
        <v>4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12"/>
  <sheetViews>
    <sheetView zoomScaleNormal="100" workbookViewId="0">
      <pane ySplit="1" topLeftCell="A2" activePane="bottomLeft" state="frozen"/>
      <selection pane="bottomLeft" activeCell="L5" sqref="L5"/>
    </sheetView>
  </sheetViews>
  <sheetFormatPr defaultColWidth="8.6640625" defaultRowHeight="14.4" x14ac:dyDescent="0.3"/>
  <cols>
    <col min="4" max="4" width="9.5546875" customWidth="1"/>
    <col min="7" max="7" width="12.21875" bestFit="1" customWidth="1"/>
    <col min="10" max="10" width="12.88671875" customWidth="1"/>
    <col min="11" max="11" width="18.6640625" customWidth="1"/>
    <col min="12" max="12" width="32" customWidth="1"/>
    <col min="13" max="13" width="23.6640625" customWidth="1"/>
  </cols>
  <sheetData>
    <row r="1" spans="1:13" ht="14.25" customHeight="1" x14ac:dyDescent="0.3">
      <c r="A1" t="s">
        <v>5</v>
      </c>
      <c r="B1" t="s">
        <v>6</v>
      </c>
      <c r="C1" t="s">
        <v>7</v>
      </c>
      <c r="D1" t="s">
        <v>8</v>
      </c>
      <c r="E1" t="s">
        <v>9</v>
      </c>
      <c r="F1" t="s">
        <v>10</v>
      </c>
      <c r="G1" t="s">
        <v>11</v>
      </c>
      <c r="I1" t="s">
        <v>12</v>
      </c>
      <c r="J1" s="1" t="s">
        <v>13</v>
      </c>
      <c r="K1" t="s">
        <v>14</v>
      </c>
      <c r="L1" t="s">
        <v>15</v>
      </c>
      <c r="M1" t="s">
        <v>16</v>
      </c>
    </row>
    <row r="2" spans="1:13" ht="14.25" customHeight="1" x14ac:dyDescent="0.3">
      <c r="A2">
        <v>306</v>
      </c>
      <c r="B2" t="s">
        <v>17</v>
      </c>
      <c r="C2" t="s">
        <v>18</v>
      </c>
      <c r="D2" t="s">
        <v>19</v>
      </c>
      <c r="E2">
        <v>2</v>
      </c>
      <c r="F2">
        <v>45000</v>
      </c>
      <c r="G2" s="2">
        <v>45675</v>
      </c>
      <c r="I2">
        <f t="shared" ref="I2:I7" si="0">E2*F2</f>
        <v>90000</v>
      </c>
      <c r="J2">
        <f>VLOOKUP(D2,Product_Master!$A$2:$C$4,3,0)</f>
        <v>18</v>
      </c>
      <c r="K2">
        <f t="shared" ref="K2:K7" si="1">I2+(J2%*I2)</f>
        <v>106200</v>
      </c>
      <c r="L2" t="str">
        <f t="shared" ref="L2:L7" si="2">IF(E2&gt;3,"High","Low")</f>
        <v>Low</v>
      </c>
      <c r="M2" t="str">
        <f t="shared" ref="M2:M7" si="3">TEXT(G2,"mmmm")</f>
        <v>January</v>
      </c>
    </row>
    <row r="3" spans="1:13" ht="14.25" customHeight="1" x14ac:dyDescent="0.3">
      <c r="A3">
        <v>301</v>
      </c>
      <c r="B3" t="s">
        <v>20</v>
      </c>
      <c r="C3" t="s">
        <v>21</v>
      </c>
      <c r="D3" t="s">
        <v>19</v>
      </c>
      <c r="E3">
        <v>2</v>
      </c>
      <c r="F3">
        <v>45000</v>
      </c>
      <c r="G3" s="2">
        <v>45662</v>
      </c>
      <c r="I3">
        <f t="shared" si="0"/>
        <v>90000</v>
      </c>
      <c r="J3">
        <f>VLOOKUP(D3,Product_Master!$A$2:$C$4,3,0)</f>
        <v>18</v>
      </c>
      <c r="K3">
        <f t="shared" si="1"/>
        <v>106200</v>
      </c>
      <c r="L3" t="str">
        <f t="shared" si="2"/>
        <v>Low</v>
      </c>
      <c r="M3" t="str">
        <f t="shared" si="3"/>
        <v>January</v>
      </c>
    </row>
    <row r="4" spans="1:13" ht="14.25" customHeight="1" x14ac:dyDescent="0.3">
      <c r="A4">
        <v>302</v>
      </c>
      <c r="B4" t="s">
        <v>17</v>
      </c>
      <c r="C4" t="s">
        <v>18</v>
      </c>
      <c r="D4" t="s">
        <v>22</v>
      </c>
      <c r="E4">
        <v>5</v>
      </c>
      <c r="F4">
        <v>15000</v>
      </c>
      <c r="G4" s="2">
        <v>45664</v>
      </c>
      <c r="I4">
        <f t="shared" si="0"/>
        <v>75000</v>
      </c>
      <c r="J4">
        <f>VLOOKUP(D4,Product_Master!$A$2:$C$4,3,0)</f>
        <v>12</v>
      </c>
      <c r="K4">
        <f t="shared" si="1"/>
        <v>84000</v>
      </c>
      <c r="L4" t="str">
        <f t="shared" si="2"/>
        <v>High</v>
      </c>
      <c r="M4" t="str">
        <f t="shared" si="3"/>
        <v>January</v>
      </c>
    </row>
    <row r="5" spans="1:13" ht="14.25" customHeight="1" x14ac:dyDescent="0.3">
      <c r="A5">
        <v>305</v>
      </c>
      <c r="B5" t="s">
        <v>20</v>
      </c>
      <c r="C5" t="s">
        <v>21</v>
      </c>
      <c r="D5" t="s">
        <v>22</v>
      </c>
      <c r="E5">
        <v>4</v>
      </c>
      <c r="F5">
        <v>15000</v>
      </c>
      <c r="G5" s="2">
        <v>45672</v>
      </c>
      <c r="I5">
        <f t="shared" si="0"/>
        <v>60000</v>
      </c>
      <c r="J5">
        <f>VLOOKUP(D5,Product_Master!$A$2:$C$4,3,0)</f>
        <v>12</v>
      </c>
      <c r="K5">
        <f t="shared" si="1"/>
        <v>67200</v>
      </c>
      <c r="L5" t="str">
        <f t="shared" si="2"/>
        <v>High</v>
      </c>
      <c r="M5" t="str">
        <f t="shared" si="3"/>
        <v>January</v>
      </c>
    </row>
    <row r="6" spans="1:13" ht="14.25" customHeight="1" x14ac:dyDescent="0.3">
      <c r="A6">
        <v>303</v>
      </c>
      <c r="B6" t="s">
        <v>23</v>
      </c>
      <c r="C6" t="s">
        <v>24</v>
      </c>
      <c r="D6" t="s">
        <v>25</v>
      </c>
      <c r="E6">
        <v>3</v>
      </c>
      <c r="F6">
        <v>18000</v>
      </c>
      <c r="G6" s="2">
        <v>45667</v>
      </c>
      <c r="I6">
        <f t="shared" si="0"/>
        <v>54000</v>
      </c>
      <c r="J6">
        <f>VLOOKUP(D6,Product_Master!$A$2:$C$4,3,0)</f>
        <v>12</v>
      </c>
      <c r="K6">
        <f t="shared" si="1"/>
        <v>60480</v>
      </c>
      <c r="L6" t="str">
        <f t="shared" si="2"/>
        <v>Low</v>
      </c>
      <c r="M6" t="str">
        <f t="shared" si="3"/>
        <v>January</v>
      </c>
    </row>
    <row r="7" spans="1:13" ht="14.25" customHeight="1" x14ac:dyDescent="0.3">
      <c r="A7">
        <v>304</v>
      </c>
      <c r="B7" t="s">
        <v>26</v>
      </c>
      <c r="C7" t="s">
        <v>27</v>
      </c>
      <c r="D7" t="s">
        <v>19</v>
      </c>
      <c r="E7">
        <v>1</v>
      </c>
      <c r="F7">
        <v>45000</v>
      </c>
      <c r="G7" s="2">
        <v>45669</v>
      </c>
      <c r="I7">
        <f t="shared" si="0"/>
        <v>45000</v>
      </c>
      <c r="J7">
        <f>VLOOKUP(D7,Product_Master!$A$2:$C$4,3,0)</f>
        <v>18</v>
      </c>
      <c r="K7">
        <f t="shared" si="1"/>
        <v>53100</v>
      </c>
      <c r="L7" t="str">
        <f t="shared" si="2"/>
        <v>Low</v>
      </c>
      <c r="M7" t="str">
        <f t="shared" si="3"/>
        <v>January</v>
      </c>
    </row>
    <row r="8" spans="1:13" ht="14.25" customHeight="1" x14ac:dyDescent="0.3">
      <c r="J8" t="s">
        <v>28</v>
      </c>
      <c r="K8">
        <f>SUM(K2:K7)</f>
        <v>477180</v>
      </c>
    </row>
    <row r="11" spans="1:13" ht="14.25" customHeight="1" x14ac:dyDescent="0.3">
      <c r="K11" t="s">
        <v>29</v>
      </c>
      <c r="L11">
        <f>MAX(K2:K7)</f>
        <v>106200</v>
      </c>
    </row>
    <row r="12" spans="1:13" ht="14.25" customHeight="1" x14ac:dyDescent="0.3">
      <c r="K12" t="s">
        <v>30</v>
      </c>
      <c r="L12">
        <f>MIN(K2:K7)</f>
        <v>53100</v>
      </c>
    </row>
  </sheetData>
  <autoFilter ref="A1:M8" xr:uid="{00000000-0009-0000-0000-000001000000}">
    <sortState xmlns:xlrd2="http://schemas.microsoft.com/office/spreadsheetml/2017/richdata2" ref="A2:M8">
      <sortCondition descending="1" ref="A2:A8"/>
    </sortState>
  </autoFilter>
  <conditionalFormatting sqref="K2:K7">
    <cfRule type="cellIs" dxfId="0" priority="2" operator="greaterThan">
      <formula>60000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4"/>
  <sheetViews>
    <sheetView zoomScaleNormal="100" workbookViewId="0">
      <selection activeCell="D2" sqref="D2"/>
    </sheetView>
  </sheetViews>
  <sheetFormatPr defaultColWidth="8.6640625" defaultRowHeight="14.4" x14ac:dyDescent="0.3"/>
  <sheetData>
    <row r="1" spans="1:3" ht="14.25" customHeight="1" x14ac:dyDescent="0.3">
      <c r="A1" t="s">
        <v>8</v>
      </c>
      <c r="B1" t="s">
        <v>31</v>
      </c>
      <c r="C1" t="s">
        <v>32</v>
      </c>
    </row>
    <row r="2" spans="1:3" ht="14.25" customHeight="1" x14ac:dyDescent="0.3">
      <c r="A2" t="s">
        <v>19</v>
      </c>
      <c r="B2" t="s">
        <v>33</v>
      </c>
      <c r="C2">
        <v>18</v>
      </c>
    </row>
    <row r="3" spans="1:3" ht="14.25" customHeight="1" x14ac:dyDescent="0.3">
      <c r="A3" t="s">
        <v>22</v>
      </c>
      <c r="B3" t="s">
        <v>33</v>
      </c>
      <c r="C3">
        <v>12</v>
      </c>
    </row>
    <row r="4" spans="1:3" ht="14.25" customHeight="1" x14ac:dyDescent="0.3">
      <c r="A4" t="s">
        <v>25</v>
      </c>
      <c r="B4" t="s">
        <v>33</v>
      </c>
      <c r="C4">
        <v>12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8"/>
  <sheetViews>
    <sheetView zoomScaleNormal="100" workbookViewId="0">
      <selection activeCell="F8" sqref="F8"/>
    </sheetView>
  </sheetViews>
  <sheetFormatPr defaultColWidth="8.6640625" defaultRowHeight="14.4" x14ac:dyDescent="0.3"/>
  <cols>
    <col min="6" max="6" width="12.77734375" customWidth="1"/>
    <col min="7" max="7" width="13.109375" customWidth="1"/>
    <col min="8" max="8" width="13.88671875" customWidth="1"/>
  </cols>
  <sheetData>
    <row r="1" spans="1:8" ht="14.25" customHeight="1" x14ac:dyDescent="0.3">
      <c r="A1" t="s">
        <v>34</v>
      </c>
      <c r="B1" t="s">
        <v>35</v>
      </c>
      <c r="C1" t="s">
        <v>36</v>
      </c>
      <c r="D1" t="s">
        <v>37</v>
      </c>
      <c r="E1" t="s">
        <v>38</v>
      </c>
      <c r="F1" t="s">
        <v>39</v>
      </c>
      <c r="G1" t="s">
        <v>40</v>
      </c>
      <c r="H1" t="s">
        <v>41</v>
      </c>
    </row>
    <row r="2" spans="1:8" ht="14.25" customHeight="1" x14ac:dyDescent="0.3">
      <c r="A2">
        <v>1</v>
      </c>
      <c r="B2" t="s">
        <v>42</v>
      </c>
      <c r="C2">
        <v>78</v>
      </c>
      <c r="D2">
        <v>82</v>
      </c>
      <c r="E2">
        <v>85</v>
      </c>
      <c r="F2">
        <v>92</v>
      </c>
      <c r="G2">
        <f>AVERAGE(C2,D2,E2)</f>
        <v>81.666666666666671</v>
      </c>
      <c r="H2" t="b">
        <f>IF(F2&gt;90,TRUE(),FALSE())</f>
        <v>1</v>
      </c>
    </row>
    <row r="3" spans="1:8" ht="14.25" customHeight="1" x14ac:dyDescent="0.3">
      <c r="A3">
        <v>2</v>
      </c>
      <c r="B3" t="s">
        <v>43</v>
      </c>
      <c r="C3">
        <v>88</v>
      </c>
      <c r="D3">
        <v>91</v>
      </c>
      <c r="E3">
        <v>90</v>
      </c>
      <c r="F3">
        <v>96</v>
      </c>
      <c r="G3">
        <f>AVERAGE(C3,D3,E3)</f>
        <v>89.666666666666671</v>
      </c>
      <c r="H3" t="b">
        <f>IF(F3&gt;90,TRUE(),FALSE())</f>
        <v>1</v>
      </c>
    </row>
    <row r="4" spans="1:8" ht="14.25" customHeight="1" x14ac:dyDescent="0.3">
      <c r="A4">
        <v>3</v>
      </c>
      <c r="B4" t="s">
        <v>44</v>
      </c>
      <c r="C4">
        <v>65</v>
      </c>
      <c r="D4">
        <v>70</v>
      </c>
      <c r="E4">
        <v>72</v>
      </c>
      <c r="F4">
        <v>85</v>
      </c>
      <c r="G4">
        <f>AVERAGE(C4,D4,E4)</f>
        <v>69</v>
      </c>
      <c r="H4" t="b">
        <f>IF(F4&gt;90,TRUE(),FALSE())</f>
        <v>0</v>
      </c>
    </row>
    <row r="5" spans="1:8" ht="14.25" customHeight="1" x14ac:dyDescent="0.3">
      <c r="A5">
        <v>4</v>
      </c>
      <c r="B5" t="s">
        <v>45</v>
      </c>
      <c r="C5">
        <v>92</v>
      </c>
      <c r="D5">
        <v>89</v>
      </c>
      <c r="E5">
        <v>94</v>
      </c>
      <c r="F5">
        <v>98</v>
      </c>
      <c r="G5">
        <f>AVERAGE(C5,D5,E5)</f>
        <v>91.666666666666671</v>
      </c>
      <c r="H5" t="b">
        <f>IF(F5&gt;90,TRUE(),FALSE())</f>
        <v>1</v>
      </c>
    </row>
    <row r="6" spans="1:8" ht="14.25" customHeight="1" x14ac:dyDescent="0.3">
      <c r="A6">
        <v>5</v>
      </c>
      <c r="B6" t="s">
        <v>46</v>
      </c>
      <c r="C6">
        <v>55</v>
      </c>
      <c r="D6">
        <v>60</v>
      </c>
      <c r="E6">
        <v>58</v>
      </c>
      <c r="F6">
        <v>80</v>
      </c>
      <c r="G6">
        <f>AVERAGE(C6,D6,E6)</f>
        <v>57.666666666666664</v>
      </c>
      <c r="H6" t="b">
        <f>IF(F6&gt;90,TRUE(),FALSE())</f>
        <v>0</v>
      </c>
    </row>
    <row r="8" spans="1:8" ht="14.25" customHeight="1" x14ac:dyDescent="0.3">
      <c r="F8">
        <f>COUNTIF(F2:F6,"&gt;90")</f>
        <v>3</v>
      </c>
    </row>
  </sheetData>
  <sheetProtection sheet="1"/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32"/>
  <sheetViews>
    <sheetView zoomScaleNormal="100" workbookViewId="0">
      <selection activeCell="C11" sqref="C11"/>
    </sheetView>
  </sheetViews>
  <sheetFormatPr defaultColWidth="8.6640625" defaultRowHeight="14.4" x14ac:dyDescent="0.3"/>
  <sheetData>
    <row r="1" spans="1:10" ht="14.25" customHeight="1" x14ac:dyDescent="0.3">
      <c r="A1" t="s">
        <v>47</v>
      </c>
      <c r="J1">
        <v>2</v>
      </c>
    </row>
    <row r="2" spans="1:10" ht="14.25" customHeight="1" x14ac:dyDescent="0.3">
      <c r="A2" t="s">
        <v>48</v>
      </c>
      <c r="J2">
        <v>2</v>
      </c>
    </row>
    <row r="3" spans="1:10" ht="14.25" customHeight="1" x14ac:dyDescent="0.3">
      <c r="A3" t="s">
        <v>49</v>
      </c>
      <c r="J3">
        <v>2</v>
      </c>
    </row>
    <row r="4" spans="1:10" ht="14.25" customHeight="1" x14ac:dyDescent="0.3">
      <c r="A4" t="s">
        <v>50</v>
      </c>
      <c r="J4">
        <v>2</v>
      </c>
    </row>
    <row r="5" spans="1:10" ht="14.25" customHeight="1" x14ac:dyDescent="0.3">
      <c r="A5" t="s">
        <v>51</v>
      </c>
      <c r="J5">
        <v>2</v>
      </c>
    </row>
    <row r="6" spans="1:10" ht="14.25" customHeight="1" x14ac:dyDescent="0.3">
      <c r="A6" t="s">
        <v>52</v>
      </c>
      <c r="J6">
        <v>2</v>
      </c>
    </row>
    <row r="7" spans="1:10" ht="14.25" customHeight="1" x14ac:dyDescent="0.3">
      <c r="A7" t="s">
        <v>53</v>
      </c>
      <c r="J7">
        <v>2</v>
      </c>
    </row>
    <row r="8" spans="1:10" ht="14.25" customHeight="1" x14ac:dyDescent="0.3">
      <c r="A8" t="s">
        <v>54</v>
      </c>
      <c r="J8">
        <v>2</v>
      </c>
    </row>
    <row r="9" spans="1:10" ht="14.25" customHeight="1" x14ac:dyDescent="0.3">
      <c r="A9" t="s">
        <v>55</v>
      </c>
      <c r="J9">
        <v>2</v>
      </c>
    </row>
    <row r="10" spans="1:10" ht="14.25" customHeight="1" x14ac:dyDescent="0.3">
      <c r="A10" t="s">
        <v>56</v>
      </c>
      <c r="J10">
        <v>2</v>
      </c>
    </row>
    <row r="11" spans="1:10" ht="14.25" customHeight="1" x14ac:dyDescent="0.3">
      <c r="A11" t="s">
        <v>57</v>
      </c>
      <c r="J11">
        <v>2</v>
      </c>
    </row>
    <row r="12" spans="1:10" ht="14.25" customHeight="1" x14ac:dyDescent="0.3">
      <c r="A12" t="s">
        <v>58</v>
      </c>
      <c r="J12">
        <v>2</v>
      </c>
    </row>
    <row r="13" spans="1:10" ht="14.25" customHeight="1" x14ac:dyDescent="0.3">
      <c r="A13" t="s">
        <v>59</v>
      </c>
      <c r="J13">
        <v>2</v>
      </c>
    </row>
    <row r="14" spans="1:10" ht="14.25" customHeight="1" x14ac:dyDescent="0.3">
      <c r="A14" t="s">
        <v>60</v>
      </c>
      <c r="J14">
        <v>2</v>
      </c>
    </row>
    <row r="15" spans="1:10" ht="14.25" customHeight="1" x14ac:dyDescent="0.3">
      <c r="A15" t="s">
        <v>61</v>
      </c>
      <c r="J15">
        <v>2</v>
      </c>
    </row>
    <row r="16" spans="1:10" ht="14.25" customHeight="1" x14ac:dyDescent="0.3">
      <c r="A16" t="s">
        <v>62</v>
      </c>
      <c r="J16">
        <v>2</v>
      </c>
    </row>
    <row r="17" spans="1:10" ht="14.25" customHeight="1" x14ac:dyDescent="0.3">
      <c r="A17" t="s">
        <v>63</v>
      </c>
      <c r="J17">
        <v>2</v>
      </c>
    </row>
    <row r="18" spans="1:10" ht="14.25" customHeight="1" x14ac:dyDescent="0.3">
      <c r="A18" t="s">
        <v>64</v>
      </c>
      <c r="J18">
        <v>2</v>
      </c>
    </row>
    <row r="19" spans="1:10" ht="14.25" customHeight="1" x14ac:dyDescent="0.3">
      <c r="A19" t="s">
        <v>65</v>
      </c>
      <c r="J19">
        <v>2</v>
      </c>
    </row>
    <row r="20" spans="1:10" ht="14.25" customHeight="1" x14ac:dyDescent="0.3">
      <c r="A20" t="s">
        <v>66</v>
      </c>
      <c r="J20">
        <v>2</v>
      </c>
    </row>
    <row r="21" spans="1:10" ht="14.25" customHeight="1" x14ac:dyDescent="0.3">
      <c r="A21" t="s">
        <v>67</v>
      </c>
      <c r="J21">
        <v>2</v>
      </c>
    </row>
    <row r="22" spans="1:10" ht="14.25" customHeight="1" x14ac:dyDescent="0.3">
      <c r="A22" t="s">
        <v>68</v>
      </c>
      <c r="J22">
        <v>2</v>
      </c>
    </row>
    <row r="23" spans="1:10" ht="14.25" customHeight="1" x14ac:dyDescent="0.3">
      <c r="A23" t="s">
        <v>69</v>
      </c>
      <c r="J23">
        <v>2</v>
      </c>
    </row>
    <row r="24" spans="1:10" ht="14.25" customHeight="1" x14ac:dyDescent="0.3">
      <c r="A24" t="s">
        <v>70</v>
      </c>
      <c r="J24">
        <v>2</v>
      </c>
    </row>
    <row r="25" spans="1:10" ht="14.25" customHeight="1" x14ac:dyDescent="0.3">
      <c r="A25" t="s">
        <v>71</v>
      </c>
      <c r="J25">
        <v>2</v>
      </c>
    </row>
    <row r="26" spans="1:10" ht="14.25" customHeight="1" x14ac:dyDescent="0.3">
      <c r="A26" t="s">
        <v>72</v>
      </c>
      <c r="J26">
        <v>2</v>
      </c>
    </row>
    <row r="27" spans="1:10" ht="14.25" customHeight="1" x14ac:dyDescent="0.3">
      <c r="A27" t="s">
        <v>73</v>
      </c>
      <c r="J27">
        <v>2</v>
      </c>
    </row>
    <row r="28" spans="1:10" ht="14.25" customHeight="1" x14ac:dyDescent="0.3">
      <c r="A28" t="s">
        <v>74</v>
      </c>
      <c r="J28">
        <v>2</v>
      </c>
    </row>
    <row r="29" spans="1:10" ht="14.25" customHeight="1" x14ac:dyDescent="0.3">
      <c r="A29" t="s">
        <v>75</v>
      </c>
      <c r="J29">
        <v>2</v>
      </c>
    </row>
    <row r="30" spans="1:10" ht="14.25" customHeight="1" x14ac:dyDescent="0.3">
      <c r="A30" t="s">
        <v>76</v>
      </c>
      <c r="J30">
        <v>2</v>
      </c>
    </row>
    <row r="32" spans="1:10" ht="14.25" customHeight="1" x14ac:dyDescent="0.3">
      <c r="J32">
        <f>SUM(J1:J30)</f>
        <v>60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260"/>
  <sheetViews>
    <sheetView tabSelected="1" zoomScaleNormal="100" workbookViewId="0">
      <selection activeCell="B5" sqref="B5"/>
    </sheetView>
  </sheetViews>
  <sheetFormatPr defaultColWidth="8.6640625" defaultRowHeight="14.4" x14ac:dyDescent="0.3"/>
  <cols>
    <col min="1" max="1" width="10" style="4" customWidth="1"/>
    <col min="2" max="2" width="42" style="4" customWidth="1"/>
    <col min="3" max="3" width="18" style="4" customWidth="1"/>
    <col min="4" max="4" width="16" style="4" customWidth="1"/>
    <col min="5" max="5" width="12.5546875" style="4" bestFit="1" customWidth="1"/>
    <col min="6" max="6" width="16.44140625" style="4" bestFit="1" customWidth="1"/>
    <col min="7" max="16384" width="8.6640625" style="4"/>
  </cols>
  <sheetData>
    <row r="1" spans="1:4" ht="15.75" customHeight="1" x14ac:dyDescent="0.35">
      <c r="A1" s="3" t="s">
        <v>77</v>
      </c>
    </row>
    <row r="3" spans="1:4" ht="15" customHeight="1" x14ac:dyDescent="0.3">
      <c r="A3" s="5" t="s">
        <v>78</v>
      </c>
    </row>
    <row r="4" spans="1:4" ht="15" customHeight="1" x14ac:dyDescent="0.3">
      <c r="B4" s="5" t="s">
        <v>5</v>
      </c>
      <c r="C4" s="5" t="s">
        <v>12</v>
      </c>
    </row>
    <row r="5" spans="1:4" ht="15" customHeight="1" x14ac:dyDescent="0.3">
      <c r="B5" s="4">
        <f>Sales_Data!A2</f>
        <v>306</v>
      </c>
      <c r="C5" s="4">
        <f>Sales_Data!E2*Sales_Data!F2</f>
        <v>90000</v>
      </c>
    </row>
    <row r="6" spans="1:4" ht="15" customHeight="1" x14ac:dyDescent="0.3">
      <c r="B6" s="4">
        <f>Sales_Data!A3</f>
        <v>301</v>
      </c>
      <c r="C6" s="4">
        <f>Sales_Data!E3*Sales_Data!F3</f>
        <v>90000</v>
      </c>
    </row>
    <row r="7" spans="1:4" ht="15" customHeight="1" x14ac:dyDescent="0.3">
      <c r="B7" s="4">
        <f>Sales_Data!A4</f>
        <v>302</v>
      </c>
      <c r="C7" s="4">
        <f>Sales_Data!E4*Sales_Data!F4</f>
        <v>75000</v>
      </c>
    </row>
    <row r="8" spans="1:4" ht="15" customHeight="1" x14ac:dyDescent="0.3">
      <c r="B8" s="4">
        <f>Sales_Data!A5</f>
        <v>305</v>
      </c>
      <c r="C8" s="4">
        <f>Sales_Data!E5*Sales_Data!F5</f>
        <v>60000</v>
      </c>
    </row>
    <row r="9" spans="1:4" ht="15" customHeight="1" x14ac:dyDescent="0.3">
      <c r="B9" s="4">
        <f>Sales_Data!A6</f>
        <v>303</v>
      </c>
      <c r="C9" s="4">
        <f>Sales_Data!E6*Sales_Data!F6</f>
        <v>54000</v>
      </c>
    </row>
    <row r="10" spans="1:4" ht="15" customHeight="1" x14ac:dyDescent="0.3">
      <c r="B10" s="4">
        <f>Sales_Data!A7</f>
        <v>304</v>
      </c>
      <c r="C10" s="4">
        <f>Sales_Data!E7*Sales_Data!F7</f>
        <v>45000</v>
      </c>
    </row>
    <row r="13" spans="1:4" ht="15" customHeight="1" x14ac:dyDescent="0.3">
      <c r="A13" s="5" t="s">
        <v>79</v>
      </c>
    </row>
    <row r="14" spans="1:4" ht="15" customHeight="1" x14ac:dyDescent="0.3">
      <c r="B14" s="5" t="s">
        <v>5</v>
      </c>
      <c r="C14" s="5" t="s">
        <v>8</v>
      </c>
      <c r="D14" s="5" t="s">
        <v>80</v>
      </c>
    </row>
    <row r="15" spans="1:4" ht="15" customHeight="1" x14ac:dyDescent="0.3">
      <c r="B15" s="4">
        <f>Sales_Data!A2</f>
        <v>306</v>
      </c>
      <c r="C15" s="4" t="str">
        <f>Sales_Data!D2</f>
        <v>Laptop</v>
      </c>
      <c r="D15" s="4">
        <f>VLOOKUP(Sales_Data!D2,Product_Master!$A$2:$C$4,3,0)</f>
        <v>18</v>
      </c>
    </row>
    <row r="16" spans="1:4" ht="15" customHeight="1" x14ac:dyDescent="0.3">
      <c r="B16" s="4">
        <f>Sales_Data!A3</f>
        <v>301</v>
      </c>
      <c r="C16" s="4" t="str">
        <f>Sales_Data!D3</f>
        <v>Laptop</v>
      </c>
      <c r="D16" s="4">
        <f>VLOOKUP(Sales_Data!D3,Product_Master!$A$2:$C$4,3,0)</f>
        <v>18</v>
      </c>
    </row>
    <row r="17" spans="1:4" ht="15" customHeight="1" x14ac:dyDescent="0.3">
      <c r="B17" s="4">
        <f>Sales_Data!A4</f>
        <v>302</v>
      </c>
      <c r="C17" s="4" t="str">
        <f>Sales_Data!D4</f>
        <v>Mobile</v>
      </c>
      <c r="D17" s="4">
        <f>VLOOKUP(Sales_Data!D4,Product_Master!$A$2:$C$4,3,0)</f>
        <v>12</v>
      </c>
    </row>
    <row r="18" spans="1:4" ht="15" customHeight="1" x14ac:dyDescent="0.3">
      <c r="B18" s="4">
        <f>Sales_Data!A5</f>
        <v>305</v>
      </c>
      <c r="C18" s="4" t="str">
        <f>Sales_Data!D5</f>
        <v>Mobile</v>
      </c>
      <c r="D18" s="4">
        <f>VLOOKUP(Sales_Data!D5,Product_Master!$A$2:$C$4,3,0)</f>
        <v>12</v>
      </c>
    </row>
    <row r="19" spans="1:4" ht="15" customHeight="1" x14ac:dyDescent="0.3">
      <c r="B19" s="4">
        <f>Sales_Data!A6</f>
        <v>303</v>
      </c>
      <c r="C19" s="4" t="str">
        <f>Sales_Data!D6</f>
        <v>Tablet</v>
      </c>
      <c r="D19" s="4">
        <f>VLOOKUP(Sales_Data!D6,Product_Master!$A$2:$C$4,3,0)</f>
        <v>12</v>
      </c>
    </row>
    <row r="20" spans="1:4" ht="15" customHeight="1" x14ac:dyDescent="0.3">
      <c r="B20" s="4">
        <f>Sales_Data!A7</f>
        <v>304</v>
      </c>
      <c r="C20" s="4" t="str">
        <f>Sales_Data!D7</f>
        <v>Laptop</v>
      </c>
      <c r="D20" s="4">
        <f>VLOOKUP(Sales_Data!D7,Product_Master!$A$2:$C$4,3,0)</f>
        <v>18</v>
      </c>
    </row>
    <row r="23" spans="1:4" ht="15" customHeight="1" x14ac:dyDescent="0.3">
      <c r="A23" s="5" t="s">
        <v>81</v>
      </c>
    </row>
    <row r="24" spans="1:4" ht="15" customHeight="1" x14ac:dyDescent="0.3">
      <c r="B24" s="5" t="s">
        <v>5</v>
      </c>
      <c r="C24" s="5" t="s">
        <v>14</v>
      </c>
    </row>
    <row r="25" spans="1:4" ht="15" customHeight="1" x14ac:dyDescent="0.3">
      <c r="B25" s="4">
        <f>Sales_Data!A2</f>
        <v>306</v>
      </c>
      <c r="C25" s="4">
        <f>Sales_Data!K2</f>
        <v>106200</v>
      </c>
    </row>
    <row r="26" spans="1:4" ht="15" customHeight="1" x14ac:dyDescent="0.3">
      <c r="B26" s="4">
        <f>Sales_Data!A3</f>
        <v>301</v>
      </c>
      <c r="C26" s="4">
        <f>Sales_Data!K3</f>
        <v>106200</v>
      </c>
    </row>
    <row r="27" spans="1:4" ht="15" customHeight="1" x14ac:dyDescent="0.3">
      <c r="B27" s="4">
        <f>Sales_Data!A4</f>
        <v>302</v>
      </c>
      <c r="C27" s="4">
        <f>Sales_Data!K4</f>
        <v>84000</v>
      </c>
    </row>
    <row r="28" spans="1:4" ht="15" customHeight="1" x14ac:dyDescent="0.3">
      <c r="B28" s="4">
        <f>Sales_Data!A5</f>
        <v>305</v>
      </c>
      <c r="C28" s="4">
        <f>Sales_Data!K5</f>
        <v>67200</v>
      </c>
    </row>
    <row r="29" spans="1:4" ht="15" customHeight="1" x14ac:dyDescent="0.3">
      <c r="B29" s="4">
        <f>Sales_Data!A6</f>
        <v>303</v>
      </c>
      <c r="C29" s="4">
        <f>Sales_Data!K6</f>
        <v>60480</v>
      </c>
    </row>
    <row r="30" spans="1:4" ht="15" customHeight="1" x14ac:dyDescent="0.3">
      <c r="B30" s="4">
        <f>Sales_Data!A7</f>
        <v>304</v>
      </c>
      <c r="C30" s="4">
        <f>Sales_Data!K7</f>
        <v>53100</v>
      </c>
    </row>
    <row r="33" spans="1:3" ht="15" customHeight="1" x14ac:dyDescent="0.3">
      <c r="A33" s="5" t="s">
        <v>82</v>
      </c>
    </row>
    <row r="34" spans="1:3" ht="15" customHeight="1" x14ac:dyDescent="0.3">
      <c r="B34" s="5" t="s">
        <v>83</v>
      </c>
    </row>
    <row r="35" spans="1:3" ht="15" customHeight="1" x14ac:dyDescent="0.3">
      <c r="B35" s="4">
        <f>SUM(Sales_Data!K2:K7)</f>
        <v>477180</v>
      </c>
    </row>
    <row r="38" spans="1:3" ht="15" customHeight="1" x14ac:dyDescent="0.3">
      <c r="A38" s="5" t="s">
        <v>84</v>
      </c>
    </row>
    <row r="39" spans="1:3" ht="15" customHeight="1" x14ac:dyDescent="0.3">
      <c r="B39" s="5" t="s">
        <v>85</v>
      </c>
    </row>
    <row r="40" spans="1:3" ht="15" customHeight="1" x14ac:dyDescent="0.3">
      <c r="B40" s="4">
        <f>COUNTA(Sales_Data!A2:A7)</f>
        <v>6</v>
      </c>
    </row>
    <row r="43" spans="1:3" ht="15" customHeight="1" x14ac:dyDescent="0.3">
      <c r="A43" s="5" t="s">
        <v>86</v>
      </c>
    </row>
    <row r="44" spans="1:3" ht="15" customHeight="1" x14ac:dyDescent="0.3">
      <c r="B44" s="5" t="s">
        <v>6</v>
      </c>
      <c r="C44" s="5" t="s">
        <v>12</v>
      </c>
    </row>
    <row r="45" spans="1:3" ht="15" customHeight="1" x14ac:dyDescent="0.3">
      <c r="B45" s="4" t="s">
        <v>20</v>
      </c>
      <c r="C45" s="4">
        <f>SUMIF(Sales_Data!$B$2:$B$7,B45,Sales_Data!$I$2:$I$7)</f>
        <v>150000</v>
      </c>
    </row>
    <row r="46" spans="1:3" ht="15" customHeight="1" x14ac:dyDescent="0.3">
      <c r="B46" s="4" t="s">
        <v>17</v>
      </c>
      <c r="C46" s="4">
        <f>SUMIF(Sales_Data!$B$2:$B$7,B46,Sales_Data!$I$2:$I$7)</f>
        <v>165000</v>
      </c>
    </row>
    <row r="47" spans="1:3" ht="15" customHeight="1" x14ac:dyDescent="0.3">
      <c r="B47" s="4" t="s">
        <v>23</v>
      </c>
      <c r="C47" s="4">
        <f>SUMIF(Sales_Data!$B$2:$B$7,B47,Sales_Data!$I$2:$I$7)</f>
        <v>54000</v>
      </c>
    </row>
    <row r="48" spans="1:3" ht="15" customHeight="1" x14ac:dyDescent="0.3">
      <c r="B48" s="4" t="s">
        <v>26</v>
      </c>
      <c r="C48" s="4">
        <f>SUMIF(Sales_Data!$B$2:$B$7,B48,Sales_Data!$I$2:$I$7)</f>
        <v>45000</v>
      </c>
    </row>
    <row r="51" spans="1:4" ht="15" customHeight="1" x14ac:dyDescent="0.3">
      <c r="A51" s="5" t="s">
        <v>87</v>
      </c>
    </row>
    <row r="52" spans="1:4" ht="15" customHeight="1" x14ac:dyDescent="0.3">
      <c r="B52" s="5" t="s">
        <v>5</v>
      </c>
      <c r="C52" s="5" t="s">
        <v>9</v>
      </c>
      <c r="D52" s="5" t="s">
        <v>88</v>
      </c>
    </row>
    <row r="53" spans="1:4" ht="15" customHeight="1" x14ac:dyDescent="0.3">
      <c r="B53" s="4">
        <f>Sales_Data!A2</f>
        <v>306</v>
      </c>
      <c r="C53" s="4">
        <f>Sales_Data!E2</f>
        <v>2</v>
      </c>
      <c r="D53" s="4" t="str">
        <f>Sales_Data!L2</f>
        <v>Low</v>
      </c>
    </row>
    <row r="54" spans="1:4" ht="15" customHeight="1" x14ac:dyDescent="0.3">
      <c r="B54" s="4">
        <f>Sales_Data!A3</f>
        <v>301</v>
      </c>
      <c r="C54" s="4">
        <f>Sales_Data!E3</f>
        <v>2</v>
      </c>
      <c r="D54" s="4" t="str">
        <f>Sales_Data!L3</f>
        <v>Low</v>
      </c>
    </row>
    <row r="55" spans="1:4" ht="15" customHeight="1" x14ac:dyDescent="0.3">
      <c r="B55" s="4">
        <f>Sales_Data!A4</f>
        <v>302</v>
      </c>
      <c r="C55" s="4">
        <f>Sales_Data!E4</f>
        <v>5</v>
      </c>
      <c r="D55" s="4" t="str">
        <f>Sales_Data!L4</f>
        <v>High</v>
      </c>
    </row>
    <row r="56" spans="1:4" ht="15" customHeight="1" x14ac:dyDescent="0.3">
      <c r="B56" s="4">
        <f>Sales_Data!A5</f>
        <v>305</v>
      </c>
      <c r="C56" s="4">
        <f>Sales_Data!E5</f>
        <v>4</v>
      </c>
      <c r="D56" s="4" t="str">
        <f>Sales_Data!L5</f>
        <v>High</v>
      </c>
    </row>
    <row r="57" spans="1:4" ht="15" customHeight="1" x14ac:dyDescent="0.3">
      <c r="B57" s="4">
        <f>Sales_Data!A6</f>
        <v>303</v>
      </c>
      <c r="C57" s="4">
        <f>Sales_Data!E6</f>
        <v>3</v>
      </c>
      <c r="D57" s="4" t="str">
        <f>Sales_Data!L6</f>
        <v>Low</v>
      </c>
    </row>
    <row r="58" spans="1:4" ht="15" customHeight="1" x14ac:dyDescent="0.3">
      <c r="B58" s="4">
        <f>Sales_Data!A7</f>
        <v>304</v>
      </c>
      <c r="C58" s="4">
        <f>Sales_Data!E7</f>
        <v>1</v>
      </c>
      <c r="D58" s="4" t="str">
        <f>Sales_Data!L7</f>
        <v>Low</v>
      </c>
    </row>
    <row r="61" spans="1:4" ht="15" customHeight="1" x14ac:dyDescent="0.3">
      <c r="A61" s="5" t="s">
        <v>89</v>
      </c>
    </row>
    <row r="62" spans="1:4" ht="15" customHeight="1" x14ac:dyDescent="0.3">
      <c r="B62" s="5" t="s">
        <v>29</v>
      </c>
      <c r="C62" s="5" t="s">
        <v>30</v>
      </c>
    </row>
    <row r="63" spans="1:4" ht="15" customHeight="1" x14ac:dyDescent="0.3">
      <c r="B63" s="4">
        <f>MAX(Sales_Data!K2:K7)</f>
        <v>106200</v>
      </c>
      <c r="C63" s="4">
        <f>MIN(Sales_Data!K2:K7)</f>
        <v>53100</v>
      </c>
    </row>
    <row r="66" spans="1:4" ht="15" customHeight="1" x14ac:dyDescent="0.3">
      <c r="A66" s="5" t="s">
        <v>90</v>
      </c>
    </row>
    <row r="67" spans="1:4" ht="15" customHeight="1" x14ac:dyDescent="0.3">
      <c r="B67" s="5" t="s">
        <v>5</v>
      </c>
      <c r="C67" s="5" t="s">
        <v>91</v>
      </c>
      <c r="D67" s="5" t="s">
        <v>16</v>
      </c>
    </row>
    <row r="68" spans="1:4" ht="15" customHeight="1" x14ac:dyDescent="0.3">
      <c r="B68" s="4">
        <f>Sales_Data!A2</f>
        <v>306</v>
      </c>
      <c r="C68" s="6">
        <f>Sales_Data!G2</f>
        <v>45675</v>
      </c>
      <c r="D68" s="4" t="str">
        <f>TEXT(Sales_Data!G2,"mmmm")</f>
        <v>January</v>
      </c>
    </row>
    <row r="69" spans="1:4" ht="15" customHeight="1" x14ac:dyDescent="0.3">
      <c r="B69" s="4">
        <f>Sales_Data!A3</f>
        <v>301</v>
      </c>
      <c r="C69" s="6">
        <f>Sales_Data!G3</f>
        <v>45662</v>
      </c>
      <c r="D69" s="4" t="str">
        <f>TEXT(Sales_Data!G3,"mmmm")</f>
        <v>January</v>
      </c>
    </row>
    <row r="70" spans="1:4" ht="15" customHeight="1" x14ac:dyDescent="0.3">
      <c r="B70" s="4">
        <f>Sales_Data!A4</f>
        <v>302</v>
      </c>
      <c r="C70" s="6">
        <f>Sales_Data!G4</f>
        <v>45664</v>
      </c>
      <c r="D70" s="4" t="str">
        <f>TEXT(Sales_Data!G4,"mmmm")</f>
        <v>January</v>
      </c>
    </row>
    <row r="71" spans="1:4" ht="15" customHeight="1" x14ac:dyDescent="0.3">
      <c r="B71" s="4">
        <f>Sales_Data!A5</f>
        <v>305</v>
      </c>
      <c r="C71" s="6">
        <f>Sales_Data!G5</f>
        <v>45672</v>
      </c>
      <c r="D71" s="4" t="str">
        <f>TEXT(Sales_Data!G5,"mmmm")</f>
        <v>January</v>
      </c>
    </row>
    <row r="72" spans="1:4" ht="15" customHeight="1" x14ac:dyDescent="0.3">
      <c r="B72" s="4">
        <f>Sales_Data!A6</f>
        <v>303</v>
      </c>
      <c r="C72" s="6">
        <f>Sales_Data!G6</f>
        <v>45667</v>
      </c>
      <c r="D72" s="4" t="str">
        <f>TEXT(Sales_Data!G6,"mmmm")</f>
        <v>January</v>
      </c>
    </row>
    <row r="73" spans="1:4" ht="15" customHeight="1" x14ac:dyDescent="0.3">
      <c r="B73" s="4">
        <f>Sales_Data!A7</f>
        <v>304</v>
      </c>
      <c r="C73" s="6">
        <f>Sales_Data!G7</f>
        <v>45669</v>
      </c>
      <c r="D73" s="4" t="str">
        <f>TEXT(Sales_Data!G7,"mmmm")</f>
        <v>January</v>
      </c>
    </row>
    <row r="76" spans="1:4" ht="15" customHeight="1" x14ac:dyDescent="0.3">
      <c r="A76" s="5" t="s">
        <v>92</v>
      </c>
    </row>
    <row r="77" spans="1:4" ht="15" customHeight="1" x14ac:dyDescent="0.3">
      <c r="B77" s="5" t="s">
        <v>5</v>
      </c>
      <c r="C77" s="5" t="s">
        <v>93</v>
      </c>
    </row>
    <row r="78" spans="1:4" ht="15" customHeight="1" x14ac:dyDescent="0.3">
      <c r="B78" s="4">
        <v>306</v>
      </c>
      <c r="C78" s="4">
        <f>VLOOKUP(306,Sales_Data!$A$2:$K$7,11,0)</f>
        <v>106200</v>
      </c>
    </row>
    <row r="79" spans="1:4" ht="15" customHeight="1" x14ac:dyDescent="0.3">
      <c r="B79" s="4">
        <v>301</v>
      </c>
      <c r="C79" s="4">
        <f>VLOOKUP(301,Sales_Data!$A$2:$K$7,11,0)</f>
        <v>106200</v>
      </c>
    </row>
    <row r="80" spans="1:4" ht="15" customHeight="1" x14ac:dyDescent="0.3">
      <c r="B80" s="4">
        <v>302</v>
      </c>
      <c r="C80" s="4">
        <f>VLOOKUP(302,Sales_Data!$A$2:$K$7,11,0)</f>
        <v>84000</v>
      </c>
    </row>
    <row r="81" spans="1:4" ht="15" customHeight="1" x14ac:dyDescent="0.3">
      <c r="B81" s="4">
        <v>305</v>
      </c>
      <c r="C81" s="4">
        <f>VLOOKUP(305,Sales_Data!$A$2:$K$7,11,0)</f>
        <v>67200</v>
      </c>
    </row>
    <row r="82" spans="1:4" ht="15" customHeight="1" x14ac:dyDescent="0.3">
      <c r="B82" s="4">
        <v>303</v>
      </c>
      <c r="C82" s="4">
        <f>VLOOKUP(303,Sales_Data!$A$2:$K$7,11,0)</f>
        <v>60480</v>
      </c>
    </row>
    <row r="83" spans="1:4" ht="15" customHeight="1" x14ac:dyDescent="0.3">
      <c r="B83" s="4">
        <v>304</v>
      </c>
      <c r="C83" s="4">
        <f>VLOOKUP(304,Sales_Data!$A$2:$K$7,11,0)</f>
        <v>53100</v>
      </c>
    </row>
    <row r="84" spans="1:4" ht="15" customHeight="1" x14ac:dyDescent="0.3">
      <c r="B84" s="8" t="s">
        <v>94</v>
      </c>
    </row>
    <row r="87" spans="1:4" ht="15" customHeight="1" x14ac:dyDescent="0.3">
      <c r="A87" s="5" t="s">
        <v>95</v>
      </c>
    </row>
    <row r="88" spans="1:4" ht="15" customHeight="1" x14ac:dyDescent="0.3">
      <c r="B88" s="5" t="s">
        <v>5</v>
      </c>
      <c r="C88" s="5" t="s">
        <v>8</v>
      </c>
      <c r="D88" s="5" t="s">
        <v>96</v>
      </c>
    </row>
    <row r="89" spans="1:4" ht="15" customHeight="1" x14ac:dyDescent="0.3">
      <c r="B89" s="4">
        <f>Sales_Data!A2</f>
        <v>306</v>
      </c>
      <c r="C89" s="4" t="str">
        <f>Sales_Data!D2</f>
        <v>Laptop</v>
      </c>
    </row>
    <row r="90" spans="1:4" ht="15" customHeight="1" x14ac:dyDescent="0.3">
      <c r="B90" s="4">
        <f>Sales_Data!A3</f>
        <v>301</v>
      </c>
      <c r="C90" s="4" t="str">
        <f>Sales_Data!D3</f>
        <v>Laptop</v>
      </c>
    </row>
    <row r="91" spans="1:4" ht="15" customHeight="1" x14ac:dyDescent="0.3">
      <c r="B91" s="4">
        <f>Sales_Data!A4</f>
        <v>302</v>
      </c>
      <c r="C91" s="4" t="str">
        <f>Sales_Data!D4</f>
        <v>Mobile</v>
      </c>
    </row>
    <row r="92" spans="1:4" ht="15" customHeight="1" x14ac:dyDescent="0.3">
      <c r="B92" s="4">
        <f>Sales_Data!A5</f>
        <v>305</v>
      </c>
      <c r="C92" s="4" t="str">
        <f>Sales_Data!D5</f>
        <v>Mobile</v>
      </c>
    </row>
    <row r="93" spans="1:4" ht="15" customHeight="1" x14ac:dyDescent="0.3">
      <c r="B93" s="4">
        <f>Sales_Data!A6</f>
        <v>303</v>
      </c>
      <c r="C93" s="4" t="str">
        <f>Sales_Data!D6</f>
        <v>Tablet</v>
      </c>
    </row>
    <row r="94" spans="1:4" ht="15" customHeight="1" x14ac:dyDescent="0.3">
      <c r="B94" s="4">
        <f>Sales_Data!A7</f>
        <v>304</v>
      </c>
      <c r="C94" s="4" t="str">
        <f>Sales_Data!D7</f>
        <v>Laptop</v>
      </c>
    </row>
    <row r="97" spans="1:4" ht="15" customHeight="1" x14ac:dyDescent="0.3">
      <c r="A97" s="5" t="s">
        <v>97</v>
      </c>
    </row>
    <row r="98" spans="1:4" ht="15" customHeight="1" x14ac:dyDescent="0.3">
      <c r="B98" s="5" t="s">
        <v>34</v>
      </c>
      <c r="C98" s="5" t="s">
        <v>35</v>
      </c>
      <c r="D98" s="5" t="s">
        <v>40</v>
      </c>
    </row>
    <row r="99" spans="1:4" ht="15" customHeight="1" x14ac:dyDescent="0.3">
      <c r="B99" s="4">
        <f>Student_Marks!A2</f>
        <v>1</v>
      </c>
      <c r="C99" s="4" t="str">
        <f>Student_Marks!B2</f>
        <v>Rahul</v>
      </c>
      <c r="D99" s="4">
        <f>Student_Marks!G2</f>
        <v>81.666666666666671</v>
      </c>
    </row>
    <row r="100" spans="1:4" ht="15" customHeight="1" x14ac:dyDescent="0.3">
      <c r="B100" s="4">
        <f>Student_Marks!A3</f>
        <v>2</v>
      </c>
      <c r="C100" s="4" t="str">
        <f>Student_Marks!B3</f>
        <v>Sneha</v>
      </c>
      <c r="D100" s="4">
        <f>Student_Marks!G3</f>
        <v>89.666666666666671</v>
      </c>
    </row>
    <row r="101" spans="1:4" ht="15" customHeight="1" x14ac:dyDescent="0.3">
      <c r="B101" s="4">
        <f>Student_Marks!A4</f>
        <v>3</v>
      </c>
      <c r="C101" s="4" t="str">
        <f>Student_Marks!B4</f>
        <v>Arjun</v>
      </c>
      <c r="D101" s="4">
        <f>Student_Marks!G4</f>
        <v>69</v>
      </c>
    </row>
    <row r="102" spans="1:4" ht="15" customHeight="1" x14ac:dyDescent="0.3">
      <c r="B102" s="4">
        <f>Student_Marks!A5</f>
        <v>4</v>
      </c>
      <c r="C102" s="4" t="str">
        <f>Student_Marks!B5</f>
        <v>Pooja</v>
      </c>
      <c r="D102" s="4">
        <f>Student_Marks!G5</f>
        <v>91.666666666666671</v>
      </c>
    </row>
    <row r="103" spans="1:4" ht="15" customHeight="1" x14ac:dyDescent="0.3">
      <c r="B103" s="4">
        <f>Student_Marks!A6</f>
        <v>5</v>
      </c>
      <c r="C103" s="4" t="str">
        <f>Student_Marks!B6</f>
        <v>Vikas</v>
      </c>
      <c r="D103" s="4">
        <f>Student_Marks!G6</f>
        <v>57.666666666666664</v>
      </c>
    </row>
    <row r="106" spans="1:4" ht="15" customHeight="1" x14ac:dyDescent="0.3">
      <c r="A106" s="5" t="s">
        <v>98</v>
      </c>
    </row>
    <row r="107" spans="1:4" ht="15" customHeight="1" x14ac:dyDescent="0.3">
      <c r="B107" s="5" t="s">
        <v>99</v>
      </c>
      <c r="C107" s="5" t="s">
        <v>100</v>
      </c>
    </row>
    <row r="108" spans="1:4" ht="15" customHeight="1" x14ac:dyDescent="0.3">
      <c r="B108" s="4">
        <f>MAX(Student_Marks!G2:G6)</f>
        <v>91.666666666666671</v>
      </c>
      <c r="C108" s="4" t="str">
        <f>_xlfn.XLOOKUP(B108,Student_Marks!G2:G6,Student_Marks!B2:B6)</f>
        <v>Pooja</v>
      </c>
    </row>
    <row r="111" spans="1:4" ht="15" customHeight="1" x14ac:dyDescent="0.3">
      <c r="A111" s="5" t="s">
        <v>101</v>
      </c>
    </row>
    <row r="112" spans="1:4" ht="15" customHeight="1" x14ac:dyDescent="0.3">
      <c r="B112" s="5" t="s">
        <v>102</v>
      </c>
    </row>
    <row r="113" spans="1:7" ht="15" customHeight="1" x14ac:dyDescent="0.3">
      <c r="B113" s="4">
        <f>COUNTIF(Student_Marks!F2:F6,"&gt;90")</f>
        <v>3</v>
      </c>
    </row>
    <row r="116" spans="1:7" ht="15" customHeight="1" x14ac:dyDescent="0.3">
      <c r="A116" s="5" t="s">
        <v>103</v>
      </c>
    </row>
    <row r="117" spans="1:7" ht="15" customHeight="1" x14ac:dyDescent="0.3">
      <c r="B117" s="5" t="s">
        <v>34</v>
      </c>
      <c r="C117" s="5" t="s">
        <v>35</v>
      </c>
      <c r="D117" s="5" t="s">
        <v>104</v>
      </c>
      <c r="E117" s="5" t="s">
        <v>105</v>
      </c>
    </row>
    <row r="118" spans="1:7" ht="15" customHeight="1" x14ac:dyDescent="0.3">
      <c r="B118" s="4">
        <f>Student_Marks!A2</f>
        <v>1</v>
      </c>
      <c r="C118" s="4" t="str">
        <f>Student_Marks!B2</f>
        <v>Rahul</v>
      </c>
      <c r="D118" s="4">
        <f>Student_Marks!F2</f>
        <v>92</v>
      </c>
      <c r="E118" s="4" t="str">
        <f>IF(Student_Marks!F2&gt;=85,"Eligible","Not Eligible")</f>
        <v>Eligible</v>
      </c>
    </row>
    <row r="119" spans="1:7" ht="15" customHeight="1" x14ac:dyDescent="0.3">
      <c r="B119" s="4">
        <f>Student_Marks!A3</f>
        <v>2</v>
      </c>
      <c r="C119" s="4" t="str">
        <f>Student_Marks!B3</f>
        <v>Sneha</v>
      </c>
      <c r="D119" s="4">
        <f>Student_Marks!F3</f>
        <v>96</v>
      </c>
      <c r="E119" s="4" t="str">
        <f>IF(Student_Marks!F3&gt;=85,"Eligible","Not Eligible")</f>
        <v>Eligible</v>
      </c>
    </row>
    <row r="120" spans="1:7" ht="15" customHeight="1" x14ac:dyDescent="0.3">
      <c r="B120" s="4">
        <f>Student_Marks!A4</f>
        <v>3</v>
      </c>
      <c r="C120" s="4" t="str">
        <f>Student_Marks!B4</f>
        <v>Arjun</v>
      </c>
      <c r="D120" s="4">
        <f>Student_Marks!F4</f>
        <v>85</v>
      </c>
      <c r="E120" s="4" t="str">
        <f>IF(Student_Marks!F4&gt;=85,"Eligible","Not Eligible")</f>
        <v>Eligible</v>
      </c>
    </row>
    <row r="121" spans="1:7" ht="15" customHeight="1" x14ac:dyDescent="0.3">
      <c r="B121" s="4">
        <f>Student_Marks!A5</f>
        <v>4</v>
      </c>
      <c r="C121" s="4" t="str">
        <f>Student_Marks!B5</f>
        <v>Pooja</v>
      </c>
      <c r="D121" s="4">
        <f>Student_Marks!F5</f>
        <v>98</v>
      </c>
      <c r="E121" s="4" t="str">
        <f>IF(Student_Marks!F5&gt;=85,"Eligible","Not Eligible")</f>
        <v>Eligible</v>
      </c>
    </row>
    <row r="122" spans="1:7" ht="15" customHeight="1" x14ac:dyDescent="0.3">
      <c r="B122" s="4">
        <f>Student_Marks!A6</f>
        <v>5</v>
      </c>
      <c r="C122" s="4" t="str">
        <f>Student_Marks!B6</f>
        <v>Vikas</v>
      </c>
      <c r="D122" s="4">
        <f>Student_Marks!F6</f>
        <v>80</v>
      </c>
      <c r="E122" s="4" t="str">
        <f>IF(Student_Marks!F6&gt;=85,"Eligible","Not Eligible")</f>
        <v>Not Eligible</v>
      </c>
    </row>
    <row r="125" spans="1:7" ht="15" customHeight="1" x14ac:dyDescent="0.3">
      <c r="A125" s="5" t="s">
        <v>106</v>
      </c>
    </row>
    <row r="126" spans="1:7" x14ac:dyDescent="0.3">
      <c r="B126" s="9" t="s">
        <v>134</v>
      </c>
      <c r="C126" t="s">
        <v>135</v>
      </c>
      <c r="G126"/>
    </row>
    <row r="127" spans="1:7" x14ac:dyDescent="0.3">
      <c r="B127" s="10" t="s">
        <v>19</v>
      </c>
      <c r="C127">
        <v>225000</v>
      </c>
      <c r="G127"/>
    </row>
    <row r="128" spans="1:7" x14ac:dyDescent="0.3">
      <c r="B128" s="10" t="s">
        <v>22</v>
      </c>
      <c r="C128">
        <v>135000</v>
      </c>
      <c r="G128"/>
    </row>
    <row r="129" spans="1:7" x14ac:dyDescent="0.3">
      <c r="B129" s="10" t="s">
        <v>25</v>
      </c>
      <c r="C129">
        <v>54000</v>
      </c>
      <c r="G129"/>
    </row>
    <row r="130" spans="1:7" x14ac:dyDescent="0.3">
      <c r="B130" s="10" t="s">
        <v>83</v>
      </c>
      <c r="C130">
        <v>414000</v>
      </c>
      <c r="G130"/>
    </row>
    <row r="131" spans="1:7" x14ac:dyDescent="0.3">
      <c r="E131"/>
      <c r="F131"/>
      <c r="G131"/>
    </row>
    <row r="132" spans="1:7" x14ac:dyDescent="0.3">
      <c r="E132"/>
      <c r="F132"/>
      <c r="G132"/>
    </row>
    <row r="133" spans="1:7" x14ac:dyDescent="0.3">
      <c r="A133" s="5" t="s">
        <v>107</v>
      </c>
      <c r="E133"/>
      <c r="F133"/>
      <c r="G133"/>
    </row>
    <row r="134" spans="1:7" x14ac:dyDescent="0.3">
      <c r="B134" s="9" t="s">
        <v>134</v>
      </c>
      <c r="C134" t="s">
        <v>135</v>
      </c>
      <c r="E134"/>
      <c r="F134"/>
      <c r="G134"/>
    </row>
    <row r="135" spans="1:7" x14ac:dyDescent="0.3">
      <c r="B135" s="10" t="s">
        <v>23</v>
      </c>
      <c r="C135">
        <v>54000</v>
      </c>
      <c r="G135"/>
    </row>
    <row r="136" spans="1:7" x14ac:dyDescent="0.3">
      <c r="B136" s="10" t="s">
        <v>20</v>
      </c>
      <c r="C136">
        <v>150000</v>
      </c>
      <c r="G136"/>
    </row>
    <row r="137" spans="1:7" x14ac:dyDescent="0.3">
      <c r="B137" s="10" t="s">
        <v>17</v>
      </c>
      <c r="C137">
        <v>165000</v>
      </c>
      <c r="G137"/>
    </row>
    <row r="138" spans="1:7" x14ac:dyDescent="0.3">
      <c r="B138" s="10" t="s">
        <v>26</v>
      </c>
      <c r="C138">
        <v>45000</v>
      </c>
      <c r="G138"/>
    </row>
    <row r="139" spans="1:7" x14ac:dyDescent="0.3">
      <c r="B139" s="10" t="s">
        <v>83</v>
      </c>
      <c r="C139">
        <v>414000</v>
      </c>
      <c r="G139"/>
    </row>
    <row r="140" spans="1:7" x14ac:dyDescent="0.3">
      <c r="G140"/>
    </row>
    <row r="141" spans="1:7" x14ac:dyDescent="0.3">
      <c r="E141"/>
      <c r="F141"/>
      <c r="G141"/>
    </row>
    <row r="142" spans="1:7" x14ac:dyDescent="0.3">
      <c r="A142" s="5" t="s">
        <v>108</v>
      </c>
      <c r="E142"/>
      <c r="F142"/>
      <c r="G142"/>
    </row>
    <row r="143" spans="1:7" x14ac:dyDescent="0.3">
      <c r="B143" s="8"/>
      <c r="E143"/>
      <c r="F143"/>
      <c r="G143"/>
    </row>
    <row r="144" spans="1:7" x14ac:dyDescent="0.3">
      <c r="E144"/>
      <c r="F144"/>
      <c r="G144"/>
    </row>
    <row r="145" spans="5:7" x14ac:dyDescent="0.3">
      <c r="E145"/>
      <c r="F145"/>
      <c r="G145"/>
    </row>
    <row r="146" spans="5:7" x14ac:dyDescent="0.3">
      <c r="E146"/>
      <c r="F146"/>
      <c r="G146"/>
    </row>
    <row r="147" spans="5:7" x14ac:dyDescent="0.3">
      <c r="E147"/>
      <c r="F147"/>
      <c r="G147"/>
    </row>
    <row r="148" spans="5:7" x14ac:dyDescent="0.3">
      <c r="E148"/>
      <c r="F148"/>
      <c r="G148"/>
    </row>
    <row r="149" spans="5:7" x14ac:dyDescent="0.3">
      <c r="E149"/>
      <c r="F149"/>
      <c r="G149"/>
    </row>
    <row r="150" spans="5:7" x14ac:dyDescent="0.3">
      <c r="E150"/>
      <c r="F150"/>
      <c r="G150"/>
    </row>
    <row r="151" spans="5:7" x14ac:dyDescent="0.3">
      <c r="E151"/>
      <c r="F151"/>
      <c r="G151"/>
    </row>
    <row r="152" spans="5:7" x14ac:dyDescent="0.3">
      <c r="E152"/>
      <c r="F152"/>
      <c r="G152"/>
    </row>
    <row r="162" spans="1:3" ht="15" customHeight="1" x14ac:dyDescent="0.3">
      <c r="A162" s="5" t="s">
        <v>109</v>
      </c>
    </row>
    <row r="163" spans="1:3" ht="15" customHeight="1" x14ac:dyDescent="0.3">
      <c r="B163" s="5" t="s">
        <v>35</v>
      </c>
      <c r="C163" s="5" t="s">
        <v>110</v>
      </c>
    </row>
    <row r="164" spans="1:3" ht="15" customHeight="1" x14ac:dyDescent="0.3">
      <c r="B164" s="4" t="str">
        <f>Student_Marks!B2</f>
        <v>Rahul</v>
      </c>
      <c r="C164" s="4">
        <f>Student_Marks!E2</f>
        <v>85</v>
      </c>
    </row>
    <row r="165" spans="1:3" ht="15" customHeight="1" x14ac:dyDescent="0.3">
      <c r="B165" s="4" t="str">
        <f>Student_Marks!B3</f>
        <v>Sneha</v>
      </c>
      <c r="C165" s="4">
        <f>Student_Marks!E3</f>
        <v>90</v>
      </c>
    </row>
    <row r="166" spans="1:3" ht="15" customHeight="1" x14ac:dyDescent="0.3">
      <c r="B166" s="4" t="str">
        <f>Student_Marks!B4</f>
        <v>Arjun</v>
      </c>
      <c r="C166" s="4">
        <f>Student_Marks!E4</f>
        <v>72</v>
      </c>
    </row>
    <row r="167" spans="1:3" ht="15" customHeight="1" x14ac:dyDescent="0.3">
      <c r="B167" s="4" t="str">
        <f>Student_Marks!B5</f>
        <v>Pooja</v>
      </c>
      <c r="C167" s="4">
        <f>Student_Marks!E5</f>
        <v>94</v>
      </c>
    </row>
    <row r="168" spans="1:3" ht="15" customHeight="1" x14ac:dyDescent="0.3">
      <c r="B168" s="4" t="str">
        <f>Student_Marks!B6</f>
        <v>Vikas</v>
      </c>
      <c r="C168" s="4">
        <f>Student_Marks!E6</f>
        <v>58</v>
      </c>
    </row>
    <row r="187" spans="1:2" ht="15" customHeight="1" x14ac:dyDescent="0.3">
      <c r="A187" s="5" t="s">
        <v>111</v>
      </c>
    </row>
    <row r="188" spans="1:2" ht="15" customHeight="1" x14ac:dyDescent="0.3">
      <c r="B188" s="5" t="s">
        <v>112</v>
      </c>
    </row>
    <row r="189" spans="1:2" ht="15" customHeight="1" x14ac:dyDescent="0.3">
      <c r="B189" s="4">
        <f>MEDIAN(Student_Marks!D2:D6)</f>
        <v>82</v>
      </c>
    </row>
    <row r="192" spans="1:2" ht="15" customHeight="1" x14ac:dyDescent="0.3">
      <c r="A192" s="5" t="s">
        <v>113</v>
      </c>
    </row>
    <row r="193" spans="1:3" ht="15" customHeight="1" x14ac:dyDescent="0.3">
      <c r="B193" s="5" t="s">
        <v>114</v>
      </c>
    </row>
    <row r="194" spans="1:3" ht="15" customHeight="1" x14ac:dyDescent="0.3">
      <c r="B194" s="4">
        <f>STDEV(Student_Marks!E2:E6)</f>
        <v>14.737706741552426</v>
      </c>
    </row>
    <row r="197" spans="1:3" ht="15" customHeight="1" x14ac:dyDescent="0.3">
      <c r="A197" s="5" t="s">
        <v>115</v>
      </c>
    </row>
    <row r="198" spans="1:3" ht="15" customHeight="1" x14ac:dyDescent="0.3">
      <c r="B198" s="5" t="s">
        <v>116</v>
      </c>
    </row>
    <row r="199" spans="1:3" ht="15" customHeight="1" x14ac:dyDescent="0.3">
      <c r="B199" s="4" t="str">
        <f>_xlfn.CONCAT(Student_Marks!A2," - ",Student_Marks!B2)</f>
        <v>1 - Rahul</v>
      </c>
    </row>
    <row r="200" spans="1:3" ht="15" customHeight="1" x14ac:dyDescent="0.3">
      <c r="B200" s="4" t="str">
        <f>_xlfn.CONCAT(Student_Marks!A3," - ",Student_Marks!B3)</f>
        <v>2 - Sneha</v>
      </c>
    </row>
    <row r="201" spans="1:3" ht="15" customHeight="1" x14ac:dyDescent="0.3">
      <c r="B201" s="4" t="str">
        <f>_xlfn.CONCAT(Student_Marks!A4," - ",Student_Marks!B4)</f>
        <v>3 - Arjun</v>
      </c>
    </row>
    <row r="202" spans="1:3" ht="15" customHeight="1" x14ac:dyDescent="0.3">
      <c r="B202" s="4" t="str">
        <f>_xlfn.CONCAT(Student_Marks!A5," - ",Student_Marks!B5)</f>
        <v>4 - Pooja</v>
      </c>
    </row>
    <row r="203" spans="1:3" ht="15" customHeight="1" x14ac:dyDescent="0.3">
      <c r="B203" s="4" t="str">
        <f>_xlfn.CONCAT(Student_Marks!A6," - ",Student_Marks!B6)</f>
        <v>5 - Vikas</v>
      </c>
    </row>
    <row r="206" spans="1:3" ht="15" customHeight="1" x14ac:dyDescent="0.3">
      <c r="A206" s="5" t="s">
        <v>117</v>
      </c>
    </row>
    <row r="207" spans="1:3" ht="15" customHeight="1" x14ac:dyDescent="0.3">
      <c r="B207" s="5" t="s">
        <v>7</v>
      </c>
      <c r="C207" s="5" t="s">
        <v>118</v>
      </c>
    </row>
    <row r="208" spans="1:3" ht="15" customHeight="1" x14ac:dyDescent="0.3">
      <c r="B208" s="4" t="str">
        <f>Sales_Data!C2</f>
        <v>Riya</v>
      </c>
      <c r="C208" s="4" t="str">
        <f>LEFT(Sales_Data!C2,2)</f>
        <v>Ri</v>
      </c>
    </row>
    <row r="209" spans="1:4" ht="15" customHeight="1" x14ac:dyDescent="0.3">
      <c r="B209" s="4" t="str">
        <f>Sales_Data!C3</f>
        <v>Amit</v>
      </c>
      <c r="C209" s="4" t="str">
        <f>LEFT(Sales_Data!C3,2)</f>
        <v>Am</v>
      </c>
    </row>
    <row r="210" spans="1:4" ht="15" customHeight="1" x14ac:dyDescent="0.3">
      <c r="B210" s="4" t="str">
        <f>Sales_Data!C4</f>
        <v>Riya</v>
      </c>
      <c r="C210" s="4" t="str">
        <f>LEFT(Sales_Data!C4,2)</f>
        <v>Ri</v>
      </c>
    </row>
    <row r="211" spans="1:4" ht="15" customHeight="1" x14ac:dyDescent="0.3">
      <c r="B211" s="4" t="str">
        <f>Sales_Data!C5</f>
        <v>Amit</v>
      </c>
      <c r="C211" s="4" t="str">
        <f>LEFT(Sales_Data!C5,2)</f>
        <v>Am</v>
      </c>
    </row>
    <row r="212" spans="1:4" ht="15" customHeight="1" x14ac:dyDescent="0.3">
      <c r="B212" s="4" t="str">
        <f>Sales_Data!C6</f>
        <v>Kunal</v>
      </c>
      <c r="C212" s="4" t="str">
        <f>LEFT(Sales_Data!C6,2)</f>
        <v>Ku</v>
      </c>
    </row>
    <row r="213" spans="1:4" ht="15" customHeight="1" x14ac:dyDescent="0.3">
      <c r="B213" s="4" t="str">
        <f>Sales_Data!C7</f>
        <v>Neha</v>
      </c>
      <c r="C213" s="4" t="str">
        <f>LEFT(Sales_Data!C7,2)</f>
        <v>Ne</v>
      </c>
    </row>
    <row r="216" spans="1:4" ht="15" customHeight="1" x14ac:dyDescent="0.3">
      <c r="A216" s="5" t="s">
        <v>119</v>
      </c>
    </row>
    <row r="217" spans="1:4" ht="15" customHeight="1" x14ac:dyDescent="0.3">
      <c r="B217" s="8" t="s">
        <v>120</v>
      </c>
    </row>
    <row r="218" spans="1:4" ht="15" customHeight="1" x14ac:dyDescent="0.3">
      <c r="B218" s="5" t="s">
        <v>5</v>
      </c>
      <c r="C218" s="5" t="s">
        <v>121</v>
      </c>
      <c r="D218" s="5" t="s">
        <v>122</v>
      </c>
    </row>
    <row r="219" spans="1:4" ht="15" customHeight="1" x14ac:dyDescent="0.3">
      <c r="B219" s="4">
        <f>Sales_Data!A2</f>
        <v>306</v>
      </c>
      <c r="C219" s="4">
        <f>Sales_Data!K2</f>
        <v>106200</v>
      </c>
      <c r="D219" s="4" t="str">
        <f>IF(Sales_Data!K2&gt;60000,"YES","NO")</f>
        <v>YES</v>
      </c>
    </row>
    <row r="220" spans="1:4" ht="15" customHeight="1" x14ac:dyDescent="0.3">
      <c r="B220" s="4">
        <f>Sales_Data!A3</f>
        <v>301</v>
      </c>
      <c r="C220" s="4">
        <f>Sales_Data!K3</f>
        <v>106200</v>
      </c>
      <c r="D220" s="4" t="str">
        <f>IF(Sales_Data!K3&gt;60000,"YES","NO")</f>
        <v>YES</v>
      </c>
    </row>
    <row r="221" spans="1:4" ht="15" customHeight="1" x14ac:dyDescent="0.3">
      <c r="B221" s="4">
        <f>Sales_Data!A4</f>
        <v>302</v>
      </c>
      <c r="C221" s="4">
        <f>Sales_Data!K4</f>
        <v>84000</v>
      </c>
      <c r="D221" s="4" t="str">
        <f>IF(Sales_Data!K4&gt;60000,"YES","NO")</f>
        <v>YES</v>
      </c>
    </row>
    <row r="222" spans="1:4" ht="15" customHeight="1" x14ac:dyDescent="0.3">
      <c r="B222" s="4">
        <f>Sales_Data!A5</f>
        <v>305</v>
      </c>
      <c r="C222" s="4">
        <f>Sales_Data!K5</f>
        <v>67200</v>
      </c>
      <c r="D222" s="4" t="str">
        <f>IF(Sales_Data!K5&gt;60000,"YES","NO")</f>
        <v>YES</v>
      </c>
    </row>
    <row r="223" spans="1:4" ht="15" customHeight="1" x14ac:dyDescent="0.3">
      <c r="B223" s="4">
        <f>Sales_Data!A6</f>
        <v>303</v>
      </c>
      <c r="C223" s="4">
        <f>Sales_Data!K6</f>
        <v>60480</v>
      </c>
      <c r="D223" s="4" t="str">
        <f>IF(Sales_Data!K6&gt;60000,"YES","NO")</f>
        <v>YES</v>
      </c>
    </row>
    <row r="224" spans="1:4" ht="15" customHeight="1" x14ac:dyDescent="0.3">
      <c r="B224" s="4">
        <f>Sales_Data!A7</f>
        <v>304</v>
      </c>
      <c r="C224" s="4">
        <f>Sales_Data!K7</f>
        <v>53100</v>
      </c>
      <c r="D224" s="4" t="str">
        <f>IF(Sales_Data!K7&gt;60000,"YES","NO")</f>
        <v>NO</v>
      </c>
    </row>
    <row r="227" spans="1:4" ht="15" customHeight="1" x14ac:dyDescent="0.3">
      <c r="A227" s="5" t="s">
        <v>123</v>
      </c>
    </row>
    <row r="228" spans="1:4" ht="15" customHeight="1" x14ac:dyDescent="0.3">
      <c r="B228" s="8" t="s">
        <v>124</v>
      </c>
    </row>
    <row r="229" spans="1:4" ht="15" customHeight="1" x14ac:dyDescent="0.3">
      <c r="B229" s="5" t="s">
        <v>5</v>
      </c>
      <c r="C229" s="5" t="s">
        <v>8</v>
      </c>
      <c r="D229" s="5" t="s">
        <v>9</v>
      </c>
    </row>
    <row r="230" spans="1:4" ht="15" customHeight="1" x14ac:dyDescent="0.3">
      <c r="B230" s="4">
        <f>Sales_Data!A2</f>
        <v>306</v>
      </c>
      <c r="C230" s="4" t="str">
        <f>Sales_Data!D2</f>
        <v>Laptop</v>
      </c>
      <c r="D230" s="4">
        <f>Sales_Data!E2</f>
        <v>2</v>
      </c>
    </row>
    <row r="231" spans="1:4" ht="15" customHeight="1" x14ac:dyDescent="0.3">
      <c r="B231" s="4">
        <f>Sales_Data!A3</f>
        <v>301</v>
      </c>
      <c r="C231" s="4" t="str">
        <f>Sales_Data!D3</f>
        <v>Laptop</v>
      </c>
      <c r="D231" s="4">
        <f>Sales_Data!E3</f>
        <v>2</v>
      </c>
    </row>
    <row r="234" spans="1:4" ht="15" customHeight="1" x14ac:dyDescent="0.3">
      <c r="A234" s="5" t="s">
        <v>125</v>
      </c>
    </row>
    <row r="235" spans="1:4" ht="15" customHeight="1" x14ac:dyDescent="0.3">
      <c r="B235" s="5" t="s">
        <v>102</v>
      </c>
    </row>
    <row r="236" spans="1:4" ht="15" customHeight="1" x14ac:dyDescent="0.3">
      <c r="B236" s="4">
        <f>COUNTIFS(Sales_Data!$D$2:$D$7,"Laptop",Sales_Data!$B$2:$B$7,"North")</f>
        <v>1</v>
      </c>
    </row>
    <row r="239" spans="1:4" ht="15" customHeight="1" x14ac:dyDescent="0.3">
      <c r="A239" s="5" t="s">
        <v>126</v>
      </c>
    </row>
    <row r="240" spans="1:4" ht="15" customHeight="1" x14ac:dyDescent="0.3">
      <c r="B240" s="5" t="s">
        <v>8</v>
      </c>
      <c r="C240" s="5" t="s">
        <v>10</v>
      </c>
      <c r="D240" s="5" t="s">
        <v>127</v>
      </c>
    </row>
    <row r="241" spans="1:4" ht="15" customHeight="1" x14ac:dyDescent="0.3">
      <c r="B241" s="4" t="str">
        <f>Sales_Data!D2</f>
        <v>Laptop</v>
      </c>
      <c r="C241" s="4">
        <f>Sales_Data!F2</f>
        <v>45000</v>
      </c>
      <c r="D241" s="4">
        <f>ROUND(Sales_Data!F2,-3)</f>
        <v>45000</v>
      </c>
    </row>
    <row r="242" spans="1:4" ht="15" customHeight="1" x14ac:dyDescent="0.3">
      <c r="B242" s="4" t="str">
        <f>Sales_Data!D3</f>
        <v>Laptop</v>
      </c>
      <c r="C242" s="4">
        <f>Sales_Data!F3</f>
        <v>45000</v>
      </c>
      <c r="D242" s="4">
        <f>ROUND(Sales_Data!F3,-3)</f>
        <v>45000</v>
      </c>
    </row>
    <row r="243" spans="1:4" ht="15" customHeight="1" x14ac:dyDescent="0.3">
      <c r="B243" s="4" t="str">
        <f>Sales_Data!D4</f>
        <v>Mobile</v>
      </c>
      <c r="C243" s="4">
        <f>Sales_Data!F4</f>
        <v>15000</v>
      </c>
      <c r="D243" s="4">
        <f>ROUND(Sales_Data!F4,-3)</f>
        <v>15000</v>
      </c>
    </row>
    <row r="244" spans="1:4" ht="15" customHeight="1" x14ac:dyDescent="0.3">
      <c r="B244" s="4" t="str">
        <f>Sales_Data!D5</f>
        <v>Mobile</v>
      </c>
      <c r="C244" s="4">
        <f>Sales_Data!F5</f>
        <v>15000</v>
      </c>
      <c r="D244" s="4">
        <f>ROUND(Sales_Data!F5,-3)</f>
        <v>15000</v>
      </c>
    </row>
    <row r="245" spans="1:4" ht="15" customHeight="1" x14ac:dyDescent="0.3">
      <c r="B245" s="4" t="str">
        <f>Sales_Data!D6</f>
        <v>Tablet</v>
      </c>
      <c r="C245" s="4">
        <f>Sales_Data!F6</f>
        <v>18000</v>
      </c>
      <c r="D245" s="4">
        <f>ROUND(Sales_Data!F6,-3)</f>
        <v>18000</v>
      </c>
    </row>
    <row r="246" spans="1:4" ht="15" customHeight="1" x14ac:dyDescent="0.3">
      <c r="B246" s="4" t="str">
        <f>Sales_Data!D7</f>
        <v>Laptop</v>
      </c>
      <c r="C246" s="4">
        <f>Sales_Data!F7</f>
        <v>45000</v>
      </c>
      <c r="D246" s="4">
        <f>ROUND(Sales_Data!F7,-3)</f>
        <v>45000</v>
      </c>
    </row>
    <row r="249" spans="1:4" ht="15" customHeight="1" x14ac:dyDescent="0.3">
      <c r="A249" s="5" t="s">
        <v>128</v>
      </c>
    </row>
    <row r="250" spans="1:4" ht="15" customHeight="1" x14ac:dyDescent="0.3">
      <c r="B250" s="5" t="s">
        <v>129</v>
      </c>
    </row>
    <row r="251" spans="1:4" ht="15" customHeight="1" x14ac:dyDescent="0.3">
      <c r="B251" s="4">
        <f>SUMPRODUCT((COUNTIF(Sales_Data!A2:A7,Sales_Data!A2:A7)&gt;1)*1)</f>
        <v>0</v>
      </c>
    </row>
    <row r="252" spans="1:4" ht="15" customHeight="1" x14ac:dyDescent="0.3">
      <c r="B252" s="8" t="s">
        <v>136</v>
      </c>
    </row>
    <row r="255" spans="1:4" ht="15" customHeight="1" x14ac:dyDescent="0.3">
      <c r="A255" s="5" t="s">
        <v>130</v>
      </c>
    </row>
    <row r="256" spans="1:4" ht="15" customHeight="1" x14ac:dyDescent="0.3">
      <c r="B256" s="7" t="s">
        <v>131</v>
      </c>
    </row>
    <row r="259" spans="1:2" ht="15" customHeight="1" x14ac:dyDescent="0.3">
      <c r="A259" s="5" t="s">
        <v>132</v>
      </c>
    </row>
    <row r="260" spans="1:2" ht="15" customHeight="1" x14ac:dyDescent="0.3">
      <c r="B260" s="4" t="s">
        <v>133</v>
      </c>
    </row>
  </sheetData>
  <pageMargins left="0.75" right="0.75" top="1" bottom="1" header="0.511811023622047" footer="0.511811023622047"/>
  <pageSetup paperSize="9" orientation="portrait" horizontalDpi="300" verticalDpi="300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Instructions</vt:lpstr>
      <vt:lpstr>Sales_Data</vt:lpstr>
      <vt:lpstr>Product_Master</vt:lpstr>
      <vt:lpstr>Student_Marks</vt:lpstr>
      <vt:lpstr>Questions</vt:lpstr>
      <vt:lpstr>Answers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Devanshu Jadav</cp:lastModifiedBy>
  <cp:revision>3</cp:revision>
  <dcterms:created xsi:type="dcterms:W3CDTF">2025-12-20T09:26:06Z</dcterms:created>
  <dcterms:modified xsi:type="dcterms:W3CDTF">2026-07-09T08:44:15Z</dcterms:modified>
  <dc:language>en-US</dc:language>
</cp:coreProperties>
</file>