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vanshu\Desktop\Python\jupyter projects\EXCEL\"/>
    </mc:Choice>
  </mc:AlternateContent>
  <xr:revisionPtr revIDLastSave="0" documentId="13_ncr:1_{F434A7EE-2604-4A1C-9F64-4CB8264EA7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loyee_Data" sheetId="1" r:id="rId1"/>
    <sheet name="Department_Bonus" sheetId="2" r:id="rId2"/>
    <sheet name="Search_Inp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3" l="1"/>
  <c r="B14" i="3"/>
  <c r="B11" i="3"/>
  <c r="B8" i="3"/>
  <c r="B5" i="3"/>
  <c r="B22" i="2"/>
  <c r="D17" i="2"/>
  <c r="C17" i="2"/>
  <c r="E17" i="2"/>
  <c r="B17" i="2"/>
  <c r="B12" i="2"/>
  <c r="B7" i="2"/>
  <c r="B39" i="1"/>
  <c r="B34" i="1"/>
  <c r="B29" i="1"/>
  <c r="B24" i="1"/>
  <c r="B19" i="1"/>
  <c r="B14" i="1"/>
</calcChain>
</file>

<file path=xl/sharedStrings.xml><?xml version="1.0" encoding="utf-8"?>
<sst xmlns="http://schemas.openxmlformats.org/spreadsheetml/2006/main" count="111" uniqueCount="57">
  <si>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</si>
  <si>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</si>
  <si>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</si>
  <si>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</si>
  <si>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</si>
  <si>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</si>
  <si>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</si>
  <si>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</si>
  <si>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</si>
  <si>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</si>
  <si>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</si>
  <si>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</si>
  <si>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</si>
  <si>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</si>
  <si>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</si>
  <si>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</si>
  <si>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</si>
  <si>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</si>
  <si>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</si>
  <si>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</si>
  <si>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</si>
  <si>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</si>
  <si>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</si>
  <si>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</si>
  <si>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</si>
  <si>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</si>
  <si>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</si>
  <si>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</si>
  <si>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</si>
  <si>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</si>
  <si>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</si>
  <si>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</si>
  <si>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</si>
  <si>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</si>
  <si>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r>
      <t>Name</t>
    </r>
    <r>
      <rPr>
        <sz val="10"/>
        <color rgb="FF1F2328"/>
        <rFont val="Calibri"/>
        <family val="2"/>
        <scheme val="minor"/>
      </rPr>
      <t> </t>
    </r>
  </si>
  <si>
    <r>
      <t>Department</t>
    </r>
    <r>
      <rPr>
        <sz val="10"/>
        <color rgb="FF1F2328"/>
        <rFont val="Segoe UI"/>
        <family val="2"/>
      </rPr>
      <t> </t>
    </r>
  </si>
  <si>
    <t>Task-4</t>
  </si>
  <si>
    <t>Task-5</t>
  </si>
  <si>
    <t>E109</t>
  </si>
  <si>
    <t>Task-6</t>
  </si>
  <si>
    <t>Task-7</t>
  </si>
  <si>
    <t>Task-8</t>
  </si>
  <si>
    <t>Task-9</t>
  </si>
  <si>
    <r>
      <t>Bonus Amount</t>
    </r>
    <r>
      <rPr>
        <sz val="10"/>
        <color rgb="FF1F2328"/>
        <rFont val="Segoe UI"/>
        <family val="2"/>
      </rPr>
      <t> </t>
    </r>
  </si>
  <si>
    <t>Employee ID</t>
  </si>
  <si>
    <t>Task-10</t>
  </si>
  <si>
    <t>Digital Marketing</t>
  </si>
  <si>
    <t>Status</t>
  </si>
  <si>
    <t xml:space="preserve">Task-1 </t>
  </si>
  <si>
    <t>Task-2</t>
  </si>
  <si>
    <t>Task-3</t>
  </si>
  <si>
    <t>E999</t>
  </si>
  <si>
    <t>Task-11</t>
  </si>
  <si>
    <t>Task-12</t>
  </si>
  <si>
    <t>Task-13</t>
  </si>
  <si>
    <t>Task-14</t>
  </si>
  <si>
    <t>Task-15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</si>
</sst>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10"/>
      <color rgb="FF1F2328"/>
      <name val="Calibri"/>
      <family val="2"/>
      <scheme val="minor"/>
    </font>
    <font>
      <sz val="10"/>
      <color rgb="FF1F2328"/>
      <name val="Calibri"/>
      <family val="2"/>
      <scheme val="minor"/>
    </font>
    <font>
      <b/>
      <sz val="10"/>
      <color rgb="FF1F232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 vertical="center" wrapText="1" indent="1"/>
    </xf>
    <xf numFmtId="0" fontId="0" fillId="2" borderId="1" xfId="0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right" vertical="center" wrapText="1" indent="1"/>
    </xf>
    <xf numFmtId="0" fontId="0" fillId="3" borderId="1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9" fontId="4" fillId="2" borderId="1" xfId="0" applyNumberFormat="1" applyFont="1" applyFill="1" applyBorder="1" applyAlignment="1">
      <alignment horizontal="right" vertical="center" wrapText="1" indent="1"/>
    </xf>
    <xf numFmtId="0" fontId="7" fillId="0" borderId="1" xfId="0" applyFont="1" applyBorder="1"/>
    <xf numFmtId="0" fontId="5" fillId="0" borderId="1" xfId="0" applyFont="1" applyBorder="1"/>
    <xf numFmtId="0" fontId="0" fillId="0" borderId="1" xfId="0" applyBorder="1"/>
    <xf numFmtId="0" fontId="3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 indent="1"/>
    </xf>
    <xf numFmtId="0" fontId="0" fillId="0" borderId="1" xfId="0" applyBorder="1" applyAlignment="1">
      <alignment horizontal="left" vertical="center" wrapText="1" indent="1"/>
    </xf>
    <xf numFmtId="0" fontId="1" fillId="0" borderId="1" xfId="0" applyFont="1" applyBorder="1"/>
    <xf numFmtId="10" fontId="0" fillId="0" borderId="1" xfId="0" applyNumberFormat="1" applyBorder="1"/>
    <xf numFmtId="0" fontId="3" fillId="2" borderId="1" xfId="0" applyFont="1" applyFill="1" applyBorder="1" applyAlignment="1">
      <alignment horizontal="center" wrapText="1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opLeftCell="A23" workbookViewId="0">
      <selection activeCell="E15" sqref="E15"/>
    </sheetView>
  </sheetViews>
  <sheetFormatPr defaultRowHeight="14.4" x14ac:dyDescent="0.3"/>
  <cols>
    <col min="1" max="1" width="13.33203125" customWidth="1"/>
    <col min="2" max="2" width="12.33203125" bestFit="1" customWidth="1"/>
    <col min="3" max="3" width="13.21875" customWidth="1"/>
    <col min="6" max="6" width="14.77734375" customWidth="1"/>
  </cols>
  <sheetData>
    <row r="1" spans="1:6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 ht="28.8" x14ac:dyDescent="0.3">
      <c r="A2" s="3" t="s">
        <v>6</v>
      </c>
      <c r="B2" s="4" t="s">
        <v>7</v>
      </c>
      <c r="C2" s="4" t="s">
        <v>8</v>
      </c>
      <c r="D2" s="4" t="s">
        <v>9</v>
      </c>
      <c r="E2" s="3">
        <v>45000</v>
      </c>
      <c r="F2" s="3">
        <v>2019</v>
      </c>
    </row>
    <row r="3" spans="1:6" ht="28.8" x14ac:dyDescent="0.3">
      <c r="A3" s="5" t="s">
        <v>10</v>
      </c>
      <c r="B3" s="6" t="s">
        <v>11</v>
      </c>
      <c r="C3" s="6" t="s">
        <v>12</v>
      </c>
      <c r="D3" s="6" t="s">
        <v>13</v>
      </c>
      <c r="E3" s="5">
        <v>52000</v>
      </c>
      <c r="F3" s="5">
        <v>2018</v>
      </c>
    </row>
    <row r="4" spans="1:6" ht="28.8" x14ac:dyDescent="0.3">
      <c r="A4" s="3" t="s">
        <v>14</v>
      </c>
      <c r="B4" s="4" t="s">
        <v>15</v>
      </c>
      <c r="C4" s="4" t="s">
        <v>16</v>
      </c>
      <c r="D4" s="4" t="s">
        <v>17</v>
      </c>
      <c r="E4" s="3">
        <v>65000</v>
      </c>
      <c r="F4" s="3">
        <v>2020</v>
      </c>
    </row>
    <row r="5" spans="1:6" ht="28.8" x14ac:dyDescent="0.3">
      <c r="A5" s="5" t="s">
        <v>18</v>
      </c>
      <c r="B5" s="6" t="s">
        <v>19</v>
      </c>
      <c r="C5" s="6" t="s">
        <v>20</v>
      </c>
      <c r="D5" s="6" t="s">
        <v>21</v>
      </c>
      <c r="E5" s="5">
        <v>58000</v>
      </c>
      <c r="F5" s="5">
        <v>2017</v>
      </c>
    </row>
    <row r="6" spans="1:6" ht="28.8" x14ac:dyDescent="0.3">
      <c r="A6" s="3" t="s">
        <v>22</v>
      </c>
      <c r="B6" s="4" t="s">
        <v>23</v>
      </c>
      <c r="C6" s="4" t="s">
        <v>24</v>
      </c>
      <c r="D6" s="4" t="s">
        <v>9</v>
      </c>
      <c r="E6" s="3">
        <v>48000</v>
      </c>
      <c r="F6" s="3">
        <v>2021</v>
      </c>
    </row>
    <row r="7" spans="1:6" ht="28.8" x14ac:dyDescent="0.3">
      <c r="A7" s="5" t="s">
        <v>25</v>
      </c>
      <c r="B7" s="6" t="s">
        <v>26</v>
      </c>
      <c r="C7" s="6" t="s">
        <v>16</v>
      </c>
      <c r="D7" s="6" t="s">
        <v>27</v>
      </c>
      <c r="E7" s="5">
        <v>62000</v>
      </c>
      <c r="F7" s="5">
        <v>2019</v>
      </c>
    </row>
    <row r="8" spans="1:6" ht="28.8" x14ac:dyDescent="0.3">
      <c r="A8" s="3" t="s">
        <v>28</v>
      </c>
      <c r="B8" s="4" t="s">
        <v>29</v>
      </c>
      <c r="C8" s="4" t="s">
        <v>8</v>
      </c>
      <c r="D8" s="4" t="s">
        <v>30</v>
      </c>
      <c r="E8" s="3">
        <v>47000</v>
      </c>
      <c r="F8" s="3">
        <v>2020</v>
      </c>
    </row>
    <row r="9" spans="1:6" ht="28.8" x14ac:dyDescent="0.3">
      <c r="A9" s="5" t="s">
        <v>31</v>
      </c>
      <c r="B9" s="6" t="s">
        <v>32</v>
      </c>
      <c r="C9" s="6" t="s">
        <v>12</v>
      </c>
      <c r="D9" s="6" t="s">
        <v>17</v>
      </c>
      <c r="E9" s="5">
        <v>54000</v>
      </c>
      <c r="F9" s="5">
        <v>2016</v>
      </c>
    </row>
    <row r="12" spans="1:6" x14ac:dyDescent="0.3">
      <c r="A12" t="s">
        <v>48</v>
      </c>
    </row>
    <row r="13" spans="1:6" x14ac:dyDescent="0.3">
      <c r="A13" s="11" t="s">
        <v>0</v>
      </c>
      <c r="B13" s="12" t="s">
        <v>34</v>
      </c>
    </row>
    <row r="14" spans="1:6" x14ac:dyDescent="0.3">
      <c r="A14" s="13" t="s">
        <v>10</v>
      </c>
      <c r="B14" s="13" t="str">
        <f>VLOOKUP(A14,A1:F9,2,0)</f>
        <v>Ananya Gupta</v>
      </c>
    </row>
    <row r="17" spans="1:2" x14ac:dyDescent="0.3">
      <c r="A17" t="s">
        <v>49</v>
      </c>
    </row>
    <row r="18" spans="1:2" ht="15" x14ac:dyDescent="0.35">
      <c r="A18" s="11" t="s">
        <v>0</v>
      </c>
      <c r="B18" s="14" t="s">
        <v>35</v>
      </c>
    </row>
    <row r="19" spans="1:2" x14ac:dyDescent="0.3">
      <c r="A19" s="13" t="s">
        <v>18</v>
      </c>
      <c r="B19" s="13" t="str">
        <f xml:space="preserve"> VLOOKUP(A19,A1:F9,3,0)</f>
        <v>Finance</v>
      </c>
    </row>
    <row r="22" spans="1:2" x14ac:dyDescent="0.3">
      <c r="A22" t="s">
        <v>50</v>
      </c>
    </row>
    <row r="23" spans="1:2" x14ac:dyDescent="0.3">
      <c r="A23" s="15" t="s">
        <v>1</v>
      </c>
      <c r="B23" s="16" t="s">
        <v>4</v>
      </c>
    </row>
    <row r="24" spans="1:2" x14ac:dyDescent="0.3">
      <c r="A24" s="17" t="s">
        <v>19</v>
      </c>
      <c r="B24" s="13">
        <f>VLOOKUP(A24, B2:E9, 4, FALSE)</f>
        <v>58000</v>
      </c>
    </row>
    <row r="27" spans="1:2" x14ac:dyDescent="0.3">
      <c r="A27" t="s">
        <v>36</v>
      </c>
    </row>
    <row r="28" spans="1:2" x14ac:dyDescent="0.3">
      <c r="A28" s="11" t="s">
        <v>0</v>
      </c>
      <c r="B28" s="2" t="s">
        <v>3</v>
      </c>
    </row>
    <row r="29" spans="1:2" x14ac:dyDescent="0.3">
      <c r="A29" s="13" t="s">
        <v>22</v>
      </c>
      <c r="B29" s="13" t="str">
        <f>VLOOKUP(A29,A1:F9,4,0)</f>
        <v>Mumbai</v>
      </c>
    </row>
    <row r="32" spans="1:2" x14ac:dyDescent="0.3">
      <c r="A32" t="s">
        <v>37</v>
      </c>
    </row>
    <row r="33" spans="1:2" x14ac:dyDescent="0.3">
      <c r="A33" s="11" t="s">
        <v>0</v>
      </c>
      <c r="B33" s="18" t="s">
        <v>1</v>
      </c>
    </row>
    <row r="34" spans="1:2" x14ac:dyDescent="0.3">
      <c r="A34" s="13" t="s">
        <v>38</v>
      </c>
      <c r="B34" s="13" t="str">
        <f>IFERROR( VLOOKUP(A34,A1:F9,2,0),"Not Found")</f>
        <v>Not Found</v>
      </c>
    </row>
    <row r="37" spans="1:2" x14ac:dyDescent="0.3">
      <c r="A37" t="s">
        <v>39</v>
      </c>
    </row>
    <row r="38" spans="1:2" ht="15" x14ac:dyDescent="0.35">
      <c r="A38" s="11" t="s">
        <v>0</v>
      </c>
      <c r="B38" s="14" t="s">
        <v>5</v>
      </c>
    </row>
    <row r="39" spans="1:2" x14ac:dyDescent="0.3">
      <c r="A39" s="13" t="s">
        <v>6</v>
      </c>
      <c r="B39" s="13">
        <f>VLOOKUP(A39,A1:F9,6,0)</f>
        <v>2019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2B49-5823-4384-A132-836B76091432}">
  <dimension ref="A1:F22"/>
  <sheetViews>
    <sheetView tabSelected="1" workbookViewId="0">
      <selection activeCell="E10" sqref="E10"/>
    </sheetView>
  </sheetViews>
  <sheetFormatPr defaultRowHeight="14.4" x14ac:dyDescent="0.3"/>
  <cols>
    <col min="1" max="1" width="14.88671875" bestFit="1" customWidth="1"/>
    <col min="2" max="2" width="13.33203125" bestFit="1" customWidth="1"/>
    <col min="4" max="4" width="15.6640625" bestFit="1" customWidth="1"/>
    <col min="5" max="5" width="13.6640625" customWidth="1"/>
  </cols>
  <sheetData>
    <row r="1" spans="1:6" ht="30" x14ac:dyDescent="0.3">
      <c r="A1" s="7" t="s">
        <v>2</v>
      </c>
      <c r="B1" s="8" t="s">
        <v>8</v>
      </c>
      <c r="C1" s="8" t="s">
        <v>12</v>
      </c>
      <c r="D1" s="8" t="s">
        <v>16</v>
      </c>
      <c r="E1" s="8" t="s">
        <v>20</v>
      </c>
      <c r="F1" s="8" t="s">
        <v>24</v>
      </c>
    </row>
    <row r="2" spans="1:6" ht="30" x14ac:dyDescent="0.3">
      <c r="A2" s="9" t="s">
        <v>33</v>
      </c>
      <c r="B2" s="10">
        <v>0.1</v>
      </c>
      <c r="C2" s="10">
        <v>0.08</v>
      </c>
      <c r="D2" s="10">
        <v>0.12</v>
      </c>
      <c r="E2" s="10">
        <v>0.15</v>
      </c>
      <c r="F2" s="10">
        <v>0.09</v>
      </c>
    </row>
    <row r="5" spans="1:6" x14ac:dyDescent="0.3">
      <c r="A5" t="s">
        <v>40</v>
      </c>
    </row>
    <row r="6" spans="1:6" x14ac:dyDescent="0.3">
      <c r="A6" s="18" t="s">
        <v>2</v>
      </c>
      <c r="B6" s="18" t="s">
        <v>33</v>
      </c>
    </row>
    <row r="7" spans="1:6" x14ac:dyDescent="0.3">
      <c r="A7" s="13" t="s">
        <v>16</v>
      </c>
      <c r="B7" s="19">
        <f xml:space="preserve"> HLOOKUP(A7,A1:F2,2,0)</f>
        <v>0.12</v>
      </c>
    </row>
    <row r="10" spans="1:6" x14ac:dyDescent="0.3">
      <c r="A10" t="s">
        <v>41</v>
      </c>
    </row>
    <row r="11" spans="1:6" x14ac:dyDescent="0.3">
      <c r="A11" s="18" t="s">
        <v>2</v>
      </c>
      <c r="B11" s="18" t="s">
        <v>33</v>
      </c>
    </row>
    <row r="12" spans="1:6" ht="15" x14ac:dyDescent="0.3">
      <c r="A12" s="8" t="s">
        <v>20</v>
      </c>
      <c r="B12" s="19">
        <f xml:space="preserve"> HLOOKUP(A12,A1:F2,2,0)</f>
        <v>0.15</v>
      </c>
    </row>
    <row r="15" spans="1:6" x14ac:dyDescent="0.3">
      <c r="A15" t="s">
        <v>42</v>
      </c>
    </row>
    <row r="16" spans="1:6" ht="15" x14ac:dyDescent="0.35">
      <c r="A16" s="18" t="s">
        <v>44</v>
      </c>
      <c r="B16" s="18" t="s">
        <v>4</v>
      </c>
      <c r="C16" s="18" t="s">
        <v>33</v>
      </c>
      <c r="D16" s="14" t="s">
        <v>43</v>
      </c>
      <c r="E16" s="20" t="s">
        <v>2</v>
      </c>
    </row>
    <row r="17" spans="1:5" x14ac:dyDescent="0.3">
      <c r="A17" s="13" t="s">
        <v>10</v>
      </c>
      <c r="B17" s="13">
        <f xml:space="preserve"> VLOOKUP(A17,Employee_Data!A1:F9, 5, 0)</f>
        <v>52000</v>
      </c>
      <c r="C17" s="13">
        <f xml:space="preserve"> HLOOKUP(E17,A1:F2,2,0)</f>
        <v>0.08</v>
      </c>
      <c r="D17" s="13">
        <f xml:space="preserve"> B17 * C17</f>
        <v>4160</v>
      </c>
      <c r="E17" s="13" t="str">
        <f xml:space="preserve"> VLOOKUP(A17,Employee_Data!A1:F9, 3, 0)</f>
        <v>HR</v>
      </c>
    </row>
    <row r="20" spans="1:5" x14ac:dyDescent="0.3">
      <c r="A20" t="s">
        <v>45</v>
      </c>
    </row>
    <row r="21" spans="1:5" x14ac:dyDescent="0.3">
      <c r="A21" s="18" t="s">
        <v>2</v>
      </c>
      <c r="B21" s="18" t="s">
        <v>47</v>
      </c>
    </row>
    <row r="22" spans="1:5" x14ac:dyDescent="0.3">
      <c r="A22" s="13" t="s">
        <v>46</v>
      </c>
      <c r="B22" s="13" t="str">
        <f xml:space="preserve"> IFERROR(HLOOKUP(A22,A1:F2,1,0),"No Bonus Data")</f>
        <v>No Bonus Data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75953-1057-4411-8E7E-6E4845AD9B55}">
  <dimension ref="A1:D17"/>
  <sheetViews>
    <sheetView workbookViewId="0">
      <selection activeCell="D17" sqref="D17"/>
    </sheetView>
  </sheetViews>
  <sheetFormatPr defaultRowHeight="14.4" x14ac:dyDescent="0.3"/>
  <cols>
    <col min="1" max="1" width="16.88671875" bestFit="1" customWidth="1"/>
    <col min="2" max="2" width="18.21875" bestFit="1" customWidth="1"/>
  </cols>
  <sheetData>
    <row r="1" spans="1:4" ht="30" x14ac:dyDescent="0.3">
      <c r="A1" s="7" t="s">
        <v>0</v>
      </c>
      <c r="B1" s="7" t="s">
        <v>1</v>
      </c>
    </row>
    <row r="2" spans="1:4" ht="30" x14ac:dyDescent="0.3">
      <c r="A2" s="9" t="s">
        <v>18</v>
      </c>
      <c r="B2" s="9" t="s">
        <v>15</v>
      </c>
    </row>
    <row r="4" spans="1:4" ht="15" x14ac:dyDescent="0.3">
      <c r="A4" s="7" t="s">
        <v>0</v>
      </c>
      <c r="B4" s="18" t="s">
        <v>4</v>
      </c>
      <c r="D4" t="s">
        <v>52</v>
      </c>
    </row>
    <row r="5" spans="1:4" ht="15" x14ac:dyDescent="0.3">
      <c r="A5" s="9" t="s">
        <v>18</v>
      </c>
      <c r="B5" s="13">
        <f xml:space="preserve"> _xlfn.XLOOKUP(A5,Employee_Data!A1:A9,Employee_Data!E1:E9)</f>
        <v>58000</v>
      </c>
    </row>
    <row r="7" spans="1:4" x14ac:dyDescent="0.3">
      <c r="A7" s="18" t="s">
        <v>1</v>
      </c>
      <c r="B7" s="18" t="s">
        <v>2</v>
      </c>
      <c r="D7" t="s">
        <v>53</v>
      </c>
    </row>
    <row r="8" spans="1:4" ht="15" x14ac:dyDescent="0.3">
      <c r="A8" s="9" t="s">
        <v>15</v>
      </c>
      <c r="B8" s="13" t="str">
        <f xml:space="preserve"> _xlfn.XLOOKUP(A8,Employee_Data!B1:B9,Employee_Data!C1:C9)</f>
        <v>IT</v>
      </c>
    </row>
    <row r="10" spans="1:4" x14ac:dyDescent="0.3">
      <c r="A10" s="18" t="s">
        <v>1</v>
      </c>
      <c r="B10" s="18" t="s">
        <v>3</v>
      </c>
      <c r="D10" t="s">
        <v>54</v>
      </c>
    </row>
    <row r="11" spans="1:4" ht="15" x14ac:dyDescent="0.3">
      <c r="A11" s="9" t="s">
        <v>15</v>
      </c>
      <c r="B11" s="13" t="str">
        <f xml:space="preserve"> _xlfn.XLOOKUP(A11,Employee_Data!B1:B9,Employee_Data!D1:D9)</f>
        <v>Bangalore</v>
      </c>
    </row>
    <row r="13" spans="1:4" ht="15" x14ac:dyDescent="0.3">
      <c r="A13" s="7" t="s">
        <v>0</v>
      </c>
      <c r="B13" s="13"/>
      <c r="D13" t="s">
        <v>55</v>
      </c>
    </row>
    <row r="14" spans="1:4" x14ac:dyDescent="0.3">
      <c r="A14" s="21" t="s">
        <v>51</v>
      </c>
      <c r="B14" s="13" t="str">
        <f xml:space="preserve"> _xlfn.XLOOKUP(A14,Employee_Data!A1:A9,Employee_Data!A1:A9, "Employee Not Found")</f>
        <v>Employee Not Found</v>
      </c>
    </row>
    <row r="16" spans="1:4" x14ac:dyDescent="0.3">
      <c r="A16" s="18" t="s">
        <v>2</v>
      </c>
      <c r="B16" s="18" t="s">
        <v>33</v>
      </c>
      <c r="D16" t="s">
        <v>56</v>
      </c>
    </row>
    <row r="17" spans="1:2" x14ac:dyDescent="0.3">
      <c r="A17" s="13" t="s">
        <v>16</v>
      </c>
      <c r="B17" s="13">
        <f xml:space="preserve"> _xlfn.XLOOKUP(A17,Department_Bonus!A1:F1,Department_Bonus!A2:F2)</f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Employee_Data</vt:lpstr>
      <vt:lpstr>Department_Bonus</vt:lpstr>
      <vt:lpstr>Search_Input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</dc:creator>
  <cp:lastModifiedBy>Devanshu Jadav</cp:lastModifiedBy>
  <dcterms:created xsi:type="dcterms:W3CDTF">2015-06-05T18:17:20Z</dcterms:created>
  <dcterms:modified xsi:type="dcterms:W3CDTF">2026-06-29T11:16:10Z</dcterms:modified>
</cp:coreProperties>
</file>